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ovoffice-my.sharepoint.com/personal/fan00_vancouver_ca/Documents/Working Doc/Design Storm Generator/"/>
    </mc:Choice>
  </mc:AlternateContent>
  <xr:revisionPtr revIDLastSave="63" documentId="8_{53ECC4DA-8A08-4CEB-BB26-96586AE73683}" xr6:coauthVersionLast="47" xr6:coauthVersionMax="47" xr10:uidLastSave="{B76614E3-397F-46AA-9753-A5296D91ACE7}"/>
  <bookViews>
    <workbookView xWindow="-120" yWindow="-120" windowWidth="29040" windowHeight="15720" activeTab="4" xr2:uid="{C7AD1631-E4D3-4383-9061-96F7463539FC}"/>
  </bookViews>
  <sheets>
    <sheet name="Intro" sheetId="6" r:id="rId1"/>
    <sheet name="Tool" sheetId="1" r:id="rId2"/>
    <sheet name="Output" sheetId="5" r:id="rId3"/>
    <sheet name="Dropdowns_Lookups" sheetId="2" state="hidden" r:id="rId4"/>
    <sheet name="Bulk Tool" sheetId="7" r:id="rId5"/>
    <sheet name="IDF Tables" sheetId="3" r:id="rId6"/>
    <sheet name="IDF Distributions" sheetId="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7" l="1"/>
  <c r="A4" i="7" l="1"/>
  <c r="H5" i="7"/>
  <c r="G5" i="7"/>
  <c r="F5" i="7"/>
  <c r="E5" i="7"/>
  <c r="D5" i="7"/>
  <c r="C5" i="7"/>
  <c r="B5" i="7"/>
  <c r="M13" i="7"/>
  <c r="A8" i="7"/>
  <c r="A9" i="7" s="1"/>
  <c r="A10" i="7" s="1"/>
  <c r="F3" i="7"/>
  <c r="E3" i="7"/>
  <c r="B3" i="7"/>
  <c r="F3" i="1"/>
  <c r="B3" i="1"/>
  <c r="E3" i="1"/>
  <c r="M9" i="7" l="1"/>
  <c r="N9" i="7" s="1"/>
  <c r="M8" i="7"/>
  <c r="N8" i="7" s="1"/>
  <c r="M7" i="7"/>
  <c r="N7" i="7" s="1"/>
  <c r="M6" i="7"/>
  <c r="N6" i="7" s="1"/>
  <c r="M5" i="7"/>
  <c r="N5" i="7" s="1"/>
  <c r="M11" i="7"/>
  <c r="N11" i="7" s="1"/>
  <c r="M10" i="7"/>
  <c r="N10" i="7" s="1"/>
  <c r="A11" i="7"/>
  <c r="B176" i="3"/>
  <c r="B175" i="3"/>
  <c r="B174" i="3"/>
  <c r="B173" i="3"/>
  <c r="B167" i="3"/>
  <c r="B166" i="3"/>
  <c r="B165" i="3"/>
  <c r="B164" i="3"/>
  <c r="B19" i="7" l="1"/>
  <c r="B31" i="7"/>
  <c r="B43" i="7"/>
  <c r="B55" i="7"/>
  <c r="B67" i="7"/>
  <c r="B79" i="7"/>
  <c r="B91" i="7"/>
  <c r="B103" i="7"/>
  <c r="B115" i="7"/>
  <c r="B127" i="7"/>
  <c r="B139" i="7"/>
  <c r="B14" i="7"/>
  <c r="B26" i="7"/>
  <c r="B38" i="7"/>
  <c r="B50" i="7"/>
  <c r="B62" i="7"/>
  <c r="B74" i="7"/>
  <c r="B86" i="7"/>
  <c r="B98" i="7"/>
  <c r="B110" i="7"/>
  <c r="B122" i="7"/>
  <c r="B134" i="7"/>
  <c r="B146" i="7"/>
  <c r="B9" i="7"/>
  <c r="B21" i="7"/>
  <c r="B33" i="7"/>
  <c r="B45" i="7"/>
  <c r="B57" i="7"/>
  <c r="B69" i="7"/>
  <c r="B81" i="7"/>
  <c r="B93" i="7"/>
  <c r="B105" i="7"/>
  <c r="B117" i="7"/>
  <c r="B129" i="7"/>
  <c r="B141" i="7"/>
  <c r="B16" i="7"/>
  <c r="B28" i="7"/>
  <c r="B40" i="7"/>
  <c r="B52" i="7"/>
  <c r="B64" i="7"/>
  <c r="B76" i="7"/>
  <c r="B88" i="7"/>
  <c r="B100" i="7"/>
  <c r="B112" i="7"/>
  <c r="B124" i="7"/>
  <c r="B136" i="7"/>
  <c r="B148" i="7"/>
  <c r="B11" i="7"/>
  <c r="B23" i="7"/>
  <c r="B35" i="7"/>
  <c r="B47" i="7"/>
  <c r="B59" i="7"/>
  <c r="B71" i="7"/>
  <c r="B83" i="7"/>
  <c r="B95" i="7"/>
  <c r="B107" i="7"/>
  <c r="B119" i="7"/>
  <c r="B131" i="7"/>
  <c r="B143" i="7"/>
  <c r="B18" i="7"/>
  <c r="B30" i="7"/>
  <c r="B42" i="7"/>
  <c r="B54" i="7"/>
  <c r="B66" i="7"/>
  <c r="B78" i="7"/>
  <c r="B90" i="7"/>
  <c r="B102" i="7"/>
  <c r="B114" i="7"/>
  <c r="B126" i="7"/>
  <c r="B138" i="7"/>
  <c r="B150" i="7"/>
  <c r="B13" i="7"/>
  <c r="B25" i="7"/>
  <c r="B37" i="7"/>
  <c r="B49" i="7"/>
  <c r="B61" i="7"/>
  <c r="B73" i="7"/>
  <c r="B85" i="7"/>
  <c r="B97" i="7"/>
  <c r="B109" i="7"/>
  <c r="B121" i="7"/>
  <c r="B133" i="7"/>
  <c r="B145" i="7"/>
  <c r="B8" i="7"/>
  <c r="B20" i="7"/>
  <c r="B32" i="7"/>
  <c r="B44" i="7"/>
  <c r="B56" i="7"/>
  <c r="B68" i="7"/>
  <c r="B80" i="7"/>
  <c r="B92" i="7"/>
  <c r="B104" i="7"/>
  <c r="B116" i="7"/>
  <c r="B128" i="7"/>
  <c r="B140" i="7"/>
  <c r="B152" i="7"/>
  <c r="B15" i="7"/>
  <c r="B27" i="7"/>
  <c r="B39" i="7"/>
  <c r="B51" i="7"/>
  <c r="B63" i="7"/>
  <c r="B75" i="7"/>
  <c r="B87" i="7"/>
  <c r="B99" i="7"/>
  <c r="B111" i="7"/>
  <c r="B123" i="7"/>
  <c r="B135" i="7"/>
  <c r="B147" i="7"/>
  <c r="B10" i="7"/>
  <c r="B22" i="7"/>
  <c r="B34" i="7"/>
  <c r="B46" i="7"/>
  <c r="B58" i="7"/>
  <c r="B70" i="7"/>
  <c r="B82" i="7"/>
  <c r="B94" i="7"/>
  <c r="B106" i="7"/>
  <c r="B118" i="7"/>
  <c r="B130" i="7"/>
  <c r="B142" i="7"/>
  <c r="B12" i="7"/>
  <c r="B24" i="7"/>
  <c r="B36" i="7"/>
  <c r="B48" i="7"/>
  <c r="B60" i="7"/>
  <c r="B72" i="7"/>
  <c r="B84" i="7"/>
  <c r="B96" i="7"/>
  <c r="B108" i="7"/>
  <c r="B120" i="7"/>
  <c r="B132" i="7"/>
  <c r="B144" i="7"/>
  <c r="B29" i="7"/>
  <c r="B151" i="7"/>
  <c r="B164" i="7"/>
  <c r="B176" i="7"/>
  <c r="B188" i="7"/>
  <c r="B200" i="7"/>
  <c r="B212" i="7"/>
  <c r="B224" i="7"/>
  <c r="B113" i="7"/>
  <c r="B159" i="7"/>
  <c r="B171" i="7"/>
  <c r="B183" i="7"/>
  <c r="B195" i="7"/>
  <c r="B207" i="7"/>
  <c r="B219" i="7"/>
  <c r="B231" i="7"/>
  <c r="B243" i="7"/>
  <c r="B255" i="7"/>
  <c r="B267" i="7"/>
  <c r="B279" i="7"/>
  <c r="B53" i="7"/>
  <c r="B154" i="7"/>
  <c r="B166" i="7"/>
  <c r="B178" i="7"/>
  <c r="B190" i="7"/>
  <c r="B202" i="7"/>
  <c r="B214" i="7"/>
  <c r="B226" i="7"/>
  <c r="B238" i="7"/>
  <c r="B250" i="7"/>
  <c r="B262" i="7"/>
  <c r="B274" i="7"/>
  <c r="B137" i="7"/>
  <c r="B161" i="7"/>
  <c r="B173" i="7"/>
  <c r="B185" i="7"/>
  <c r="B197" i="7"/>
  <c r="B209" i="7"/>
  <c r="B221" i="7"/>
  <c r="B233" i="7"/>
  <c r="B245" i="7"/>
  <c r="B257" i="7"/>
  <c r="B269" i="7"/>
  <c r="B281" i="7"/>
  <c r="B77" i="7"/>
  <c r="B156" i="7"/>
  <c r="B168" i="7"/>
  <c r="B180" i="7"/>
  <c r="B192" i="7"/>
  <c r="B204" i="7"/>
  <c r="B216" i="7"/>
  <c r="B228" i="7"/>
  <c r="B240" i="7"/>
  <c r="B252" i="7"/>
  <c r="B264" i="7"/>
  <c r="B276" i="7"/>
  <c r="B17" i="7"/>
  <c r="B163" i="7"/>
  <c r="B175" i="7"/>
  <c r="B187" i="7"/>
  <c r="B199" i="7"/>
  <c r="B211" i="7"/>
  <c r="B223" i="7"/>
  <c r="B235" i="7"/>
  <c r="B247" i="7"/>
  <c r="B259" i="7"/>
  <c r="B271" i="7"/>
  <c r="B101" i="7"/>
  <c r="B158" i="7"/>
  <c r="B170" i="7"/>
  <c r="B182" i="7"/>
  <c r="B194" i="7"/>
  <c r="B206" i="7"/>
  <c r="B218" i="7"/>
  <c r="B230" i="7"/>
  <c r="B242" i="7"/>
  <c r="B254" i="7"/>
  <c r="B266" i="7"/>
  <c r="B278" i="7"/>
  <c r="B41" i="7"/>
  <c r="B153" i="7"/>
  <c r="B165" i="7"/>
  <c r="B177" i="7"/>
  <c r="B189" i="7"/>
  <c r="B201" i="7"/>
  <c r="B213" i="7"/>
  <c r="B225" i="7"/>
  <c r="B237" i="7"/>
  <c r="B249" i="7"/>
  <c r="B261" i="7"/>
  <c r="B273" i="7"/>
  <c r="B125" i="7"/>
  <c r="B160" i="7"/>
  <c r="B172" i="7"/>
  <c r="B184" i="7"/>
  <c r="B196" i="7"/>
  <c r="B208" i="7"/>
  <c r="B220" i="7"/>
  <c r="B232" i="7"/>
  <c r="B244" i="7"/>
  <c r="B256" i="7"/>
  <c r="B268" i="7"/>
  <c r="B280" i="7"/>
  <c r="B89" i="7"/>
  <c r="B157" i="7"/>
  <c r="B169" i="7"/>
  <c r="B181" i="7"/>
  <c r="B193" i="7"/>
  <c r="B205" i="7"/>
  <c r="B217" i="7"/>
  <c r="B229" i="7"/>
  <c r="B241" i="7"/>
  <c r="B253" i="7"/>
  <c r="B265" i="7"/>
  <c r="B277" i="7"/>
  <c r="B203" i="7"/>
  <c r="B272" i="7"/>
  <c r="B293" i="7"/>
  <c r="B236" i="7"/>
  <c r="B149" i="7"/>
  <c r="B162" i="7"/>
  <c r="B239" i="7"/>
  <c r="B288" i="7"/>
  <c r="B282" i="7"/>
  <c r="B7" i="7"/>
  <c r="B291" i="7"/>
  <c r="B215" i="7"/>
  <c r="B246" i="7"/>
  <c r="B295" i="7"/>
  <c r="B174" i="7"/>
  <c r="B260" i="7"/>
  <c r="B283" i="7"/>
  <c r="B290" i="7"/>
  <c r="B251" i="7"/>
  <c r="B65" i="7"/>
  <c r="B155" i="7"/>
  <c r="B227" i="7"/>
  <c r="B275" i="7"/>
  <c r="B285" i="7"/>
  <c r="B191" i="7"/>
  <c r="B186" i="7"/>
  <c r="B234" i="7"/>
  <c r="B292" i="7"/>
  <c r="B167" i="7"/>
  <c r="B248" i="7"/>
  <c r="B287" i="7"/>
  <c r="B210" i="7"/>
  <c r="B284" i="7"/>
  <c r="B198" i="7"/>
  <c r="B263" i="7"/>
  <c r="B294" i="7"/>
  <c r="B179" i="7"/>
  <c r="B270" i="7"/>
  <c r="B289" i="7"/>
  <c r="B222" i="7"/>
  <c r="B258" i="7"/>
  <c r="B286" i="7"/>
  <c r="C12" i="7"/>
  <c r="C24" i="7"/>
  <c r="C36" i="7"/>
  <c r="C48" i="7"/>
  <c r="C60" i="7"/>
  <c r="C72" i="7"/>
  <c r="C84" i="7"/>
  <c r="C96" i="7"/>
  <c r="C108" i="7"/>
  <c r="C120" i="7"/>
  <c r="C132" i="7"/>
  <c r="C144" i="7"/>
  <c r="C19" i="7"/>
  <c r="C31" i="7"/>
  <c r="C43" i="7"/>
  <c r="C55" i="7"/>
  <c r="C67" i="7"/>
  <c r="C79" i="7"/>
  <c r="C91" i="7"/>
  <c r="C103" i="7"/>
  <c r="C115" i="7"/>
  <c r="C127" i="7"/>
  <c r="C139" i="7"/>
  <c r="C151" i="7"/>
  <c r="C14" i="7"/>
  <c r="C26" i="7"/>
  <c r="C38" i="7"/>
  <c r="C50" i="7"/>
  <c r="C62" i="7"/>
  <c r="C74" i="7"/>
  <c r="C86" i="7"/>
  <c r="C98" i="7"/>
  <c r="C110" i="7"/>
  <c r="C122" i="7"/>
  <c r="C134" i="7"/>
  <c r="C146" i="7"/>
  <c r="C9" i="7"/>
  <c r="C21" i="7"/>
  <c r="C33" i="7"/>
  <c r="C45" i="7"/>
  <c r="C57" i="7"/>
  <c r="C69" i="7"/>
  <c r="C81" i="7"/>
  <c r="C93" i="7"/>
  <c r="C105" i="7"/>
  <c r="C117" i="7"/>
  <c r="C129" i="7"/>
  <c r="C141" i="7"/>
  <c r="C16" i="7"/>
  <c r="C28" i="7"/>
  <c r="C40" i="7"/>
  <c r="C52" i="7"/>
  <c r="C64" i="7"/>
  <c r="C76" i="7"/>
  <c r="C88" i="7"/>
  <c r="C100" i="7"/>
  <c r="C112" i="7"/>
  <c r="C124" i="7"/>
  <c r="C136" i="7"/>
  <c r="C148" i="7"/>
  <c r="C11" i="7"/>
  <c r="C23" i="7"/>
  <c r="C35" i="7"/>
  <c r="C47" i="7"/>
  <c r="C59" i="7"/>
  <c r="C71" i="7"/>
  <c r="C83" i="7"/>
  <c r="C95" i="7"/>
  <c r="C107" i="7"/>
  <c r="C119" i="7"/>
  <c r="C131" i="7"/>
  <c r="C143" i="7"/>
  <c r="C18" i="7"/>
  <c r="C30" i="7"/>
  <c r="C42" i="7"/>
  <c r="C54" i="7"/>
  <c r="C66" i="7"/>
  <c r="C78" i="7"/>
  <c r="C90" i="7"/>
  <c r="C102" i="7"/>
  <c r="C114" i="7"/>
  <c r="C126" i="7"/>
  <c r="C138" i="7"/>
  <c r="C150" i="7"/>
  <c r="C13" i="7"/>
  <c r="C25" i="7"/>
  <c r="C37" i="7"/>
  <c r="C49" i="7"/>
  <c r="C61" i="7"/>
  <c r="C73" i="7"/>
  <c r="C85" i="7"/>
  <c r="C97" i="7"/>
  <c r="C109" i="7"/>
  <c r="C121" i="7"/>
  <c r="C133" i="7"/>
  <c r="C145" i="7"/>
  <c r="C8" i="7"/>
  <c r="C20" i="7"/>
  <c r="C32" i="7"/>
  <c r="C44" i="7"/>
  <c r="C56" i="7"/>
  <c r="C68" i="7"/>
  <c r="C80" i="7"/>
  <c r="C92" i="7"/>
  <c r="C104" i="7"/>
  <c r="C116" i="7"/>
  <c r="C128" i="7"/>
  <c r="C140" i="7"/>
  <c r="C15" i="7"/>
  <c r="C27" i="7"/>
  <c r="C39" i="7"/>
  <c r="C51" i="7"/>
  <c r="C63" i="7"/>
  <c r="C75" i="7"/>
  <c r="C87" i="7"/>
  <c r="C99" i="7"/>
  <c r="C111" i="7"/>
  <c r="C123" i="7"/>
  <c r="C135" i="7"/>
  <c r="C147" i="7"/>
  <c r="C17" i="7"/>
  <c r="C29" i="7"/>
  <c r="C41" i="7"/>
  <c r="C53" i="7"/>
  <c r="C65" i="7"/>
  <c r="C77" i="7"/>
  <c r="C89" i="7"/>
  <c r="C101" i="7"/>
  <c r="C113" i="7"/>
  <c r="C125" i="7"/>
  <c r="C137" i="7"/>
  <c r="C149" i="7"/>
  <c r="C70" i="7"/>
  <c r="C157" i="7"/>
  <c r="C169" i="7"/>
  <c r="C181" i="7"/>
  <c r="C193" i="7"/>
  <c r="C205" i="7"/>
  <c r="C217" i="7"/>
  <c r="C10" i="7"/>
  <c r="C164" i="7"/>
  <c r="C176" i="7"/>
  <c r="C188" i="7"/>
  <c r="C200" i="7"/>
  <c r="C212" i="7"/>
  <c r="C224" i="7"/>
  <c r="C236" i="7"/>
  <c r="C248" i="7"/>
  <c r="C260" i="7"/>
  <c r="C272" i="7"/>
  <c r="C94" i="7"/>
  <c r="C152" i="7"/>
  <c r="C159" i="7"/>
  <c r="C171" i="7"/>
  <c r="C183" i="7"/>
  <c r="C195" i="7"/>
  <c r="C207" i="7"/>
  <c r="C219" i="7"/>
  <c r="C231" i="7"/>
  <c r="C243" i="7"/>
  <c r="C255" i="7"/>
  <c r="C267" i="7"/>
  <c r="C279" i="7"/>
  <c r="C34" i="7"/>
  <c r="C154" i="7"/>
  <c r="C166" i="7"/>
  <c r="C178" i="7"/>
  <c r="C190" i="7"/>
  <c r="C202" i="7"/>
  <c r="C214" i="7"/>
  <c r="C226" i="7"/>
  <c r="C238" i="7"/>
  <c r="C250" i="7"/>
  <c r="C262" i="7"/>
  <c r="C274" i="7"/>
  <c r="C118" i="7"/>
  <c r="C161" i="7"/>
  <c r="C173" i="7"/>
  <c r="C185" i="7"/>
  <c r="C197" i="7"/>
  <c r="C209" i="7"/>
  <c r="C221" i="7"/>
  <c r="C233" i="7"/>
  <c r="C245" i="7"/>
  <c r="C257" i="7"/>
  <c r="C269" i="7"/>
  <c r="C281" i="7"/>
  <c r="C58" i="7"/>
  <c r="C156" i="7"/>
  <c r="C168" i="7"/>
  <c r="C180" i="7"/>
  <c r="C192" i="7"/>
  <c r="C204" i="7"/>
  <c r="C216" i="7"/>
  <c r="C228" i="7"/>
  <c r="C240" i="7"/>
  <c r="C252" i="7"/>
  <c r="C264" i="7"/>
  <c r="C276" i="7"/>
  <c r="C142" i="7"/>
  <c r="C163" i="7"/>
  <c r="C175" i="7"/>
  <c r="C187" i="7"/>
  <c r="C199" i="7"/>
  <c r="C211" i="7"/>
  <c r="C223" i="7"/>
  <c r="C235" i="7"/>
  <c r="C247" i="7"/>
  <c r="C259" i="7"/>
  <c r="C271" i="7"/>
  <c r="C82" i="7"/>
  <c r="C158" i="7"/>
  <c r="C170" i="7"/>
  <c r="C182" i="7"/>
  <c r="C194" i="7"/>
  <c r="C206" i="7"/>
  <c r="C218" i="7"/>
  <c r="C230" i="7"/>
  <c r="C242" i="7"/>
  <c r="C254" i="7"/>
  <c r="C266" i="7"/>
  <c r="C22" i="7"/>
  <c r="C153" i="7"/>
  <c r="C165" i="7"/>
  <c r="C177" i="7"/>
  <c r="C189" i="7"/>
  <c r="C201" i="7"/>
  <c r="C213" i="7"/>
  <c r="C225" i="7"/>
  <c r="C237" i="7"/>
  <c r="C249" i="7"/>
  <c r="C261" i="7"/>
  <c r="C273" i="7"/>
  <c r="C130" i="7"/>
  <c r="C162" i="7"/>
  <c r="C174" i="7"/>
  <c r="C186" i="7"/>
  <c r="C198" i="7"/>
  <c r="C210" i="7"/>
  <c r="C222" i="7"/>
  <c r="C234" i="7"/>
  <c r="C246" i="7"/>
  <c r="C258" i="7"/>
  <c r="C270" i="7"/>
  <c r="C172" i="7"/>
  <c r="C265" i="7"/>
  <c r="C286" i="7"/>
  <c r="C160" i="7"/>
  <c r="C244" i="7"/>
  <c r="C203" i="7"/>
  <c r="C232" i="7"/>
  <c r="C293" i="7"/>
  <c r="C184" i="7"/>
  <c r="C239" i="7"/>
  <c r="C288" i="7"/>
  <c r="C282" i="7"/>
  <c r="C7" i="7"/>
  <c r="C46" i="7"/>
  <c r="C215" i="7"/>
  <c r="C253" i="7"/>
  <c r="C280" i="7"/>
  <c r="C295" i="7"/>
  <c r="C289" i="7"/>
  <c r="C196" i="7"/>
  <c r="C268" i="7"/>
  <c r="C283" i="7"/>
  <c r="C290" i="7"/>
  <c r="C179" i="7"/>
  <c r="C155" i="7"/>
  <c r="C227" i="7"/>
  <c r="C275" i="7"/>
  <c r="C285" i="7"/>
  <c r="C229" i="7"/>
  <c r="C208" i="7"/>
  <c r="C241" i="7"/>
  <c r="C292" i="7"/>
  <c r="C294" i="7"/>
  <c r="C277" i="7"/>
  <c r="C167" i="7"/>
  <c r="C256" i="7"/>
  <c r="C287" i="7"/>
  <c r="C278" i="7"/>
  <c r="C106" i="7"/>
  <c r="C220" i="7"/>
  <c r="C263" i="7"/>
  <c r="C191" i="7"/>
  <c r="C251" i="7"/>
  <c r="C284" i="7"/>
  <c r="C291" i="7"/>
  <c r="D17" i="7"/>
  <c r="D29" i="7"/>
  <c r="D41" i="7"/>
  <c r="D53" i="7"/>
  <c r="D65" i="7"/>
  <c r="D77" i="7"/>
  <c r="D89" i="7"/>
  <c r="D101" i="7"/>
  <c r="D113" i="7"/>
  <c r="D125" i="7"/>
  <c r="D137" i="7"/>
  <c r="D149" i="7"/>
  <c r="D12" i="7"/>
  <c r="D24" i="7"/>
  <c r="D36" i="7"/>
  <c r="D48" i="7"/>
  <c r="D60" i="7"/>
  <c r="D72" i="7"/>
  <c r="D84" i="7"/>
  <c r="D96" i="7"/>
  <c r="D108" i="7"/>
  <c r="D120" i="7"/>
  <c r="D132" i="7"/>
  <c r="D144" i="7"/>
  <c r="D19" i="7"/>
  <c r="D31" i="7"/>
  <c r="D43" i="7"/>
  <c r="D55" i="7"/>
  <c r="D67" i="7"/>
  <c r="D79" i="7"/>
  <c r="D91" i="7"/>
  <c r="D103" i="7"/>
  <c r="D115" i="7"/>
  <c r="D127" i="7"/>
  <c r="D139" i="7"/>
  <c r="D151" i="7"/>
  <c r="D14" i="7"/>
  <c r="D26" i="7"/>
  <c r="D38" i="7"/>
  <c r="D50" i="7"/>
  <c r="D62" i="7"/>
  <c r="D74" i="7"/>
  <c r="D86" i="7"/>
  <c r="D98" i="7"/>
  <c r="D110" i="7"/>
  <c r="D122" i="7"/>
  <c r="D134" i="7"/>
  <c r="D146" i="7"/>
  <c r="D9" i="7"/>
  <c r="D21" i="7"/>
  <c r="D33" i="7"/>
  <c r="D45" i="7"/>
  <c r="D57" i="7"/>
  <c r="D69" i="7"/>
  <c r="D81" i="7"/>
  <c r="D93" i="7"/>
  <c r="D105" i="7"/>
  <c r="D117" i="7"/>
  <c r="D129" i="7"/>
  <c r="D141" i="7"/>
  <c r="D16" i="7"/>
  <c r="D28" i="7"/>
  <c r="D40" i="7"/>
  <c r="D52" i="7"/>
  <c r="D64" i="7"/>
  <c r="D76" i="7"/>
  <c r="D88" i="7"/>
  <c r="D100" i="7"/>
  <c r="D112" i="7"/>
  <c r="D124" i="7"/>
  <c r="D136" i="7"/>
  <c r="D148" i="7"/>
  <c r="D11" i="7"/>
  <c r="D23" i="7"/>
  <c r="D35" i="7"/>
  <c r="D47" i="7"/>
  <c r="D59" i="7"/>
  <c r="D71" i="7"/>
  <c r="D83" i="7"/>
  <c r="D95" i="7"/>
  <c r="D107" i="7"/>
  <c r="D119" i="7"/>
  <c r="D131" i="7"/>
  <c r="D143" i="7"/>
  <c r="D18" i="7"/>
  <c r="D30" i="7"/>
  <c r="D42" i="7"/>
  <c r="D54" i="7"/>
  <c r="D66" i="7"/>
  <c r="D78" i="7"/>
  <c r="D90" i="7"/>
  <c r="D102" i="7"/>
  <c r="D114" i="7"/>
  <c r="D126" i="7"/>
  <c r="D138" i="7"/>
  <c r="D150" i="7"/>
  <c r="D13" i="7"/>
  <c r="D25" i="7"/>
  <c r="D37" i="7"/>
  <c r="D49" i="7"/>
  <c r="D61" i="7"/>
  <c r="D73" i="7"/>
  <c r="D85" i="7"/>
  <c r="D97" i="7"/>
  <c r="D109" i="7"/>
  <c r="D121" i="7"/>
  <c r="D133" i="7"/>
  <c r="D145" i="7"/>
  <c r="D8" i="7"/>
  <c r="D20" i="7"/>
  <c r="D32" i="7"/>
  <c r="D44" i="7"/>
  <c r="D56" i="7"/>
  <c r="D68" i="7"/>
  <c r="D80" i="7"/>
  <c r="D92" i="7"/>
  <c r="D104" i="7"/>
  <c r="D116" i="7"/>
  <c r="D128" i="7"/>
  <c r="D140" i="7"/>
  <c r="D152" i="7"/>
  <c r="D10" i="7"/>
  <c r="D22" i="7"/>
  <c r="D34" i="7"/>
  <c r="D46" i="7"/>
  <c r="D58" i="7"/>
  <c r="D70" i="7"/>
  <c r="D82" i="7"/>
  <c r="D94" i="7"/>
  <c r="D106" i="7"/>
  <c r="D118" i="7"/>
  <c r="D130" i="7"/>
  <c r="D142" i="7"/>
  <c r="D111" i="7"/>
  <c r="D162" i="7"/>
  <c r="D174" i="7"/>
  <c r="D186" i="7"/>
  <c r="D198" i="7"/>
  <c r="D210" i="7"/>
  <c r="D222" i="7"/>
  <c r="D51" i="7"/>
  <c r="D157" i="7"/>
  <c r="D169" i="7"/>
  <c r="D181" i="7"/>
  <c r="D193" i="7"/>
  <c r="D205" i="7"/>
  <c r="D217" i="7"/>
  <c r="D229" i="7"/>
  <c r="D241" i="7"/>
  <c r="D253" i="7"/>
  <c r="D265" i="7"/>
  <c r="D277" i="7"/>
  <c r="D135" i="7"/>
  <c r="D164" i="7"/>
  <c r="D176" i="7"/>
  <c r="D188" i="7"/>
  <c r="D200" i="7"/>
  <c r="D212" i="7"/>
  <c r="D224" i="7"/>
  <c r="D236" i="7"/>
  <c r="D248" i="7"/>
  <c r="D260" i="7"/>
  <c r="D272" i="7"/>
  <c r="D75" i="7"/>
  <c r="D159" i="7"/>
  <c r="D171" i="7"/>
  <c r="D183" i="7"/>
  <c r="D195" i="7"/>
  <c r="D207" i="7"/>
  <c r="D219" i="7"/>
  <c r="D231" i="7"/>
  <c r="D243" i="7"/>
  <c r="D255" i="7"/>
  <c r="D267" i="7"/>
  <c r="D279" i="7"/>
  <c r="D15" i="7"/>
  <c r="D154" i="7"/>
  <c r="D166" i="7"/>
  <c r="D178" i="7"/>
  <c r="D190" i="7"/>
  <c r="D202" i="7"/>
  <c r="D214" i="7"/>
  <c r="D226" i="7"/>
  <c r="D238" i="7"/>
  <c r="D250" i="7"/>
  <c r="D262" i="7"/>
  <c r="D274" i="7"/>
  <c r="D99" i="7"/>
  <c r="D161" i="7"/>
  <c r="D173" i="7"/>
  <c r="D185" i="7"/>
  <c r="D197" i="7"/>
  <c r="D209" i="7"/>
  <c r="D221" i="7"/>
  <c r="D233" i="7"/>
  <c r="D245" i="7"/>
  <c r="D257" i="7"/>
  <c r="D269" i="7"/>
  <c r="D281" i="7"/>
  <c r="D39" i="7"/>
  <c r="D156" i="7"/>
  <c r="D168" i="7"/>
  <c r="D180" i="7"/>
  <c r="D192" i="7"/>
  <c r="D204" i="7"/>
  <c r="D216" i="7"/>
  <c r="D228" i="7"/>
  <c r="D240" i="7"/>
  <c r="D252" i="7"/>
  <c r="D264" i="7"/>
  <c r="D276" i="7"/>
  <c r="D123" i="7"/>
  <c r="D163" i="7"/>
  <c r="D175" i="7"/>
  <c r="D187" i="7"/>
  <c r="D199" i="7"/>
  <c r="D211" i="7"/>
  <c r="D223" i="7"/>
  <c r="D235" i="7"/>
  <c r="D247" i="7"/>
  <c r="D259" i="7"/>
  <c r="D271" i="7"/>
  <c r="D63" i="7"/>
  <c r="D158" i="7"/>
  <c r="D170" i="7"/>
  <c r="D182" i="7"/>
  <c r="D194" i="7"/>
  <c r="D206" i="7"/>
  <c r="D218" i="7"/>
  <c r="D230" i="7"/>
  <c r="D242" i="7"/>
  <c r="D254" i="7"/>
  <c r="D266" i="7"/>
  <c r="D278" i="7"/>
  <c r="D27" i="7"/>
  <c r="D155" i="7"/>
  <c r="D167" i="7"/>
  <c r="D179" i="7"/>
  <c r="D191" i="7"/>
  <c r="D203" i="7"/>
  <c r="D215" i="7"/>
  <c r="D227" i="7"/>
  <c r="D239" i="7"/>
  <c r="D251" i="7"/>
  <c r="D263" i="7"/>
  <c r="D275" i="7"/>
  <c r="D147" i="7"/>
  <c r="D213" i="7"/>
  <c r="D258" i="7"/>
  <c r="D284" i="7"/>
  <c r="D291" i="7"/>
  <c r="D289" i="7"/>
  <c r="D172" i="7"/>
  <c r="D273" i="7"/>
  <c r="D286" i="7"/>
  <c r="D220" i="7"/>
  <c r="D201" i="7"/>
  <c r="D153" i="7"/>
  <c r="D225" i="7"/>
  <c r="D232" i="7"/>
  <c r="D293" i="7"/>
  <c r="D184" i="7"/>
  <c r="D246" i="7"/>
  <c r="D288" i="7"/>
  <c r="D165" i="7"/>
  <c r="D261" i="7"/>
  <c r="D280" i="7"/>
  <c r="D295" i="7"/>
  <c r="D196" i="7"/>
  <c r="D268" i="7"/>
  <c r="D283" i="7"/>
  <c r="D290" i="7"/>
  <c r="D270" i="7"/>
  <c r="D294" i="7"/>
  <c r="D237" i="7"/>
  <c r="D177" i="7"/>
  <c r="D234" i="7"/>
  <c r="D285" i="7"/>
  <c r="D87" i="7"/>
  <c r="D208" i="7"/>
  <c r="D249" i="7"/>
  <c r="D292" i="7"/>
  <c r="D189" i="7"/>
  <c r="D256" i="7"/>
  <c r="D287" i="7"/>
  <c r="D160" i="7"/>
  <c r="D244" i="7"/>
  <c r="D282" i="7"/>
  <c r="D7" i="7"/>
  <c r="E10" i="7"/>
  <c r="E22" i="7"/>
  <c r="E34" i="7"/>
  <c r="E46" i="7"/>
  <c r="E58" i="7"/>
  <c r="E70" i="7"/>
  <c r="E82" i="7"/>
  <c r="E94" i="7"/>
  <c r="E106" i="7"/>
  <c r="E118" i="7"/>
  <c r="E130" i="7"/>
  <c r="E142" i="7"/>
  <c r="E17" i="7"/>
  <c r="E29" i="7"/>
  <c r="E41" i="7"/>
  <c r="E53" i="7"/>
  <c r="E65" i="7"/>
  <c r="E77" i="7"/>
  <c r="E89" i="7"/>
  <c r="E101" i="7"/>
  <c r="E113" i="7"/>
  <c r="E125" i="7"/>
  <c r="E137" i="7"/>
  <c r="E149" i="7"/>
  <c r="E12" i="7"/>
  <c r="E24" i="7"/>
  <c r="E36" i="7"/>
  <c r="E48" i="7"/>
  <c r="E60" i="7"/>
  <c r="E72" i="7"/>
  <c r="E84" i="7"/>
  <c r="E96" i="7"/>
  <c r="E108" i="7"/>
  <c r="E120" i="7"/>
  <c r="E132" i="7"/>
  <c r="E144" i="7"/>
  <c r="E19" i="7"/>
  <c r="E31" i="7"/>
  <c r="E43" i="7"/>
  <c r="E55" i="7"/>
  <c r="E67" i="7"/>
  <c r="E79" i="7"/>
  <c r="E91" i="7"/>
  <c r="E103" i="7"/>
  <c r="E115" i="7"/>
  <c r="E127" i="7"/>
  <c r="E139" i="7"/>
  <c r="E14" i="7"/>
  <c r="E26" i="7"/>
  <c r="E38" i="7"/>
  <c r="E50" i="7"/>
  <c r="E62" i="7"/>
  <c r="E74" i="7"/>
  <c r="E86" i="7"/>
  <c r="E98" i="7"/>
  <c r="E110" i="7"/>
  <c r="E122" i="7"/>
  <c r="E134" i="7"/>
  <c r="E146" i="7"/>
  <c r="E9" i="7"/>
  <c r="E21" i="7"/>
  <c r="E33" i="7"/>
  <c r="E45" i="7"/>
  <c r="E57" i="7"/>
  <c r="E69" i="7"/>
  <c r="E81" i="7"/>
  <c r="E93" i="7"/>
  <c r="E105" i="7"/>
  <c r="E117" i="7"/>
  <c r="E129" i="7"/>
  <c r="E141" i="7"/>
  <c r="E16" i="7"/>
  <c r="E28" i="7"/>
  <c r="E40" i="7"/>
  <c r="E52" i="7"/>
  <c r="E64" i="7"/>
  <c r="E76" i="7"/>
  <c r="E88" i="7"/>
  <c r="E100" i="7"/>
  <c r="E112" i="7"/>
  <c r="E124" i="7"/>
  <c r="E136" i="7"/>
  <c r="E148" i="7"/>
  <c r="E11" i="7"/>
  <c r="E23" i="7"/>
  <c r="E35" i="7"/>
  <c r="E47" i="7"/>
  <c r="E59" i="7"/>
  <c r="E71" i="7"/>
  <c r="E83" i="7"/>
  <c r="E95" i="7"/>
  <c r="E107" i="7"/>
  <c r="E119" i="7"/>
  <c r="E131" i="7"/>
  <c r="E143" i="7"/>
  <c r="E18" i="7"/>
  <c r="E30" i="7"/>
  <c r="E42" i="7"/>
  <c r="E54" i="7"/>
  <c r="E66" i="7"/>
  <c r="E78" i="7"/>
  <c r="E90" i="7"/>
  <c r="E102" i="7"/>
  <c r="E114" i="7"/>
  <c r="E126" i="7"/>
  <c r="E138" i="7"/>
  <c r="E150" i="7"/>
  <c r="E13" i="7"/>
  <c r="E25" i="7"/>
  <c r="E37" i="7"/>
  <c r="E49" i="7"/>
  <c r="E61" i="7"/>
  <c r="E73" i="7"/>
  <c r="E85" i="7"/>
  <c r="E97" i="7"/>
  <c r="E109" i="7"/>
  <c r="E121" i="7"/>
  <c r="E133" i="7"/>
  <c r="E145" i="7"/>
  <c r="E15" i="7"/>
  <c r="E27" i="7"/>
  <c r="E39" i="7"/>
  <c r="E51" i="7"/>
  <c r="E63" i="7"/>
  <c r="E75" i="7"/>
  <c r="E87" i="7"/>
  <c r="E99" i="7"/>
  <c r="E111" i="7"/>
  <c r="E123" i="7"/>
  <c r="E135" i="7"/>
  <c r="E147" i="7"/>
  <c r="E8" i="7"/>
  <c r="E155" i="7"/>
  <c r="E167" i="7"/>
  <c r="E179" i="7"/>
  <c r="E191" i="7"/>
  <c r="E203" i="7"/>
  <c r="E215" i="7"/>
  <c r="E92" i="7"/>
  <c r="E151" i="7"/>
  <c r="E162" i="7"/>
  <c r="E174" i="7"/>
  <c r="E186" i="7"/>
  <c r="E198" i="7"/>
  <c r="E210" i="7"/>
  <c r="E222" i="7"/>
  <c r="E234" i="7"/>
  <c r="E246" i="7"/>
  <c r="E258" i="7"/>
  <c r="E270" i="7"/>
  <c r="E32" i="7"/>
  <c r="E157" i="7"/>
  <c r="E169" i="7"/>
  <c r="E181" i="7"/>
  <c r="E193" i="7"/>
  <c r="E205" i="7"/>
  <c r="E217" i="7"/>
  <c r="E229" i="7"/>
  <c r="E241" i="7"/>
  <c r="E253" i="7"/>
  <c r="E265" i="7"/>
  <c r="E277" i="7"/>
  <c r="E116" i="7"/>
  <c r="E152" i="7"/>
  <c r="E164" i="7"/>
  <c r="E176" i="7"/>
  <c r="E188" i="7"/>
  <c r="E200" i="7"/>
  <c r="E212" i="7"/>
  <c r="E224" i="7"/>
  <c r="E236" i="7"/>
  <c r="E248" i="7"/>
  <c r="E260" i="7"/>
  <c r="E272" i="7"/>
  <c r="E284" i="7"/>
  <c r="E56" i="7"/>
  <c r="E159" i="7"/>
  <c r="E171" i="7"/>
  <c r="E183" i="7"/>
  <c r="E195" i="7"/>
  <c r="E207" i="7"/>
  <c r="E219" i="7"/>
  <c r="E231" i="7"/>
  <c r="E243" i="7"/>
  <c r="E255" i="7"/>
  <c r="E267" i="7"/>
  <c r="E279" i="7"/>
  <c r="E140" i="7"/>
  <c r="E154" i="7"/>
  <c r="E166" i="7"/>
  <c r="E178" i="7"/>
  <c r="E190" i="7"/>
  <c r="E202" i="7"/>
  <c r="E214" i="7"/>
  <c r="E226" i="7"/>
  <c r="E238" i="7"/>
  <c r="E250" i="7"/>
  <c r="E262" i="7"/>
  <c r="E274" i="7"/>
  <c r="E80" i="7"/>
  <c r="E161" i="7"/>
  <c r="E173" i="7"/>
  <c r="E185" i="7"/>
  <c r="E197" i="7"/>
  <c r="E209" i="7"/>
  <c r="E221" i="7"/>
  <c r="E233" i="7"/>
  <c r="E245" i="7"/>
  <c r="E257" i="7"/>
  <c r="E269" i="7"/>
  <c r="E281" i="7"/>
  <c r="E20" i="7"/>
  <c r="E156" i="7"/>
  <c r="E168" i="7"/>
  <c r="E180" i="7"/>
  <c r="E192" i="7"/>
  <c r="E204" i="7"/>
  <c r="E216" i="7"/>
  <c r="E228" i="7"/>
  <c r="E240" i="7"/>
  <c r="E252" i="7"/>
  <c r="E264" i="7"/>
  <c r="E276" i="7"/>
  <c r="E104" i="7"/>
  <c r="E163" i="7"/>
  <c r="E175" i="7"/>
  <c r="E187" i="7"/>
  <c r="E199" i="7"/>
  <c r="E211" i="7"/>
  <c r="E223" i="7"/>
  <c r="E235" i="7"/>
  <c r="E247" i="7"/>
  <c r="E259" i="7"/>
  <c r="E271" i="7"/>
  <c r="E68" i="7"/>
  <c r="E160" i="7"/>
  <c r="E172" i="7"/>
  <c r="E184" i="7"/>
  <c r="E196" i="7"/>
  <c r="E208" i="7"/>
  <c r="E220" i="7"/>
  <c r="E232" i="7"/>
  <c r="E244" i="7"/>
  <c r="E256" i="7"/>
  <c r="E268" i="7"/>
  <c r="E280" i="7"/>
  <c r="E182" i="7"/>
  <c r="E251" i="7"/>
  <c r="E282" i="7"/>
  <c r="E7" i="7"/>
  <c r="E213" i="7"/>
  <c r="E266" i="7"/>
  <c r="E291" i="7"/>
  <c r="E44" i="7"/>
  <c r="E194" i="7"/>
  <c r="E273" i="7"/>
  <c r="E286" i="7"/>
  <c r="E189" i="7"/>
  <c r="E263" i="7"/>
  <c r="E153" i="7"/>
  <c r="E225" i="7"/>
  <c r="E239" i="7"/>
  <c r="E293" i="7"/>
  <c r="E170" i="7"/>
  <c r="E206" i="7"/>
  <c r="E254" i="7"/>
  <c r="E288" i="7"/>
  <c r="E287" i="7"/>
  <c r="E165" i="7"/>
  <c r="E261" i="7"/>
  <c r="E295" i="7"/>
  <c r="E218" i="7"/>
  <c r="E227" i="7"/>
  <c r="E275" i="7"/>
  <c r="E283" i="7"/>
  <c r="E290" i="7"/>
  <c r="E230" i="7"/>
  <c r="E177" i="7"/>
  <c r="E242" i="7"/>
  <c r="E285" i="7"/>
  <c r="E158" i="7"/>
  <c r="E249" i="7"/>
  <c r="E292" i="7"/>
  <c r="E128" i="7"/>
  <c r="E201" i="7"/>
  <c r="E237" i="7"/>
  <c r="E278" i="7"/>
  <c r="E289" i="7"/>
  <c r="E294" i="7"/>
  <c r="H13" i="7"/>
  <c r="H25" i="7"/>
  <c r="H37" i="7"/>
  <c r="H49" i="7"/>
  <c r="H61" i="7"/>
  <c r="H73" i="7"/>
  <c r="H85" i="7"/>
  <c r="H97" i="7"/>
  <c r="H109" i="7"/>
  <c r="H121" i="7"/>
  <c r="H133" i="7"/>
  <c r="H145" i="7"/>
  <c r="H8" i="7"/>
  <c r="H20" i="7"/>
  <c r="H32" i="7"/>
  <c r="H44" i="7"/>
  <c r="H56" i="7"/>
  <c r="H68" i="7"/>
  <c r="H80" i="7"/>
  <c r="H92" i="7"/>
  <c r="H104" i="7"/>
  <c r="H116" i="7"/>
  <c r="H128" i="7"/>
  <c r="H140" i="7"/>
  <c r="H15" i="7"/>
  <c r="H27" i="7"/>
  <c r="H39" i="7"/>
  <c r="H51" i="7"/>
  <c r="H63" i="7"/>
  <c r="H75" i="7"/>
  <c r="H87" i="7"/>
  <c r="H99" i="7"/>
  <c r="H111" i="7"/>
  <c r="H123" i="7"/>
  <c r="H135" i="7"/>
  <c r="H147" i="7"/>
  <c r="H10" i="7"/>
  <c r="H22" i="7"/>
  <c r="H34" i="7"/>
  <c r="H46" i="7"/>
  <c r="H58" i="7"/>
  <c r="H70" i="7"/>
  <c r="H82" i="7"/>
  <c r="H94" i="7"/>
  <c r="H106" i="7"/>
  <c r="H118" i="7"/>
  <c r="H130" i="7"/>
  <c r="H142" i="7"/>
  <c r="H17" i="7"/>
  <c r="H29" i="7"/>
  <c r="H41" i="7"/>
  <c r="H53" i="7"/>
  <c r="H65" i="7"/>
  <c r="H77" i="7"/>
  <c r="H89" i="7"/>
  <c r="H101" i="7"/>
  <c r="H113" i="7"/>
  <c r="H125" i="7"/>
  <c r="H137" i="7"/>
  <c r="H149" i="7"/>
  <c r="H12" i="7"/>
  <c r="H24" i="7"/>
  <c r="H36" i="7"/>
  <c r="H48" i="7"/>
  <c r="H60" i="7"/>
  <c r="H72" i="7"/>
  <c r="H84" i="7"/>
  <c r="H96" i="7"/>
  <c r="H108" i="7"/>
  <c r="H120" i="7"/>
  <c r="H132" i="7"/>
  <c r="H144" i="7"/>
  <c r="H19" i="7"/>
  <c r="H31" i="7"/>
  <c r="H43" i="7"/>
  <c r="H55" i="7"/>
  <c r="H67" i="7"/>
  <c r="H79" i="7"/>
  <c r="H91" i="7"/>
  <c r="H103" i="7"/>
  <c r="H115" i="7"/>
  <c r="H127" i="7"/>
  <c r="H139" i="7"/>
  <c r="H151" i="7"/>
  <c r="H14" i="7"/>
  <c r="H26" i="7"/>
  <c r="H38" i="7"/>
  <c r="H50" i="7"/>
  <c r="H62" i="7"/>
  <c r="H74" i="7"/>
  <c r="H86" i="7"/>
  <c r="H98" i="7"/>
  <c r="H110" i="7"/>
  <c r="H122" i="7"/>
  <c r="H134" i="7"/>
  <c r="H146" i="7"/>
  <c r="H9" i="7"/>
  <c r="H21" i="7"/>
  <c r="H33" i="7"/>
  <c r="H45" i="7"/>
  <c r="H57" i="7"/>
  <c r="H69" i="7"/>
  <c r="H81" i="7"/>
  <c r="H93" i="7"/>
  <c r="H105" i="7"/>
  <c r="H117" i="7"/>
  <c r="H129" i="7"/>
  <c r="H141" i="7"/>
  <c r="H16" i="7"/>
  <c r="H28" i="7"/>
  <c r="H40" i="7"/>
  <c r="H52" i="7"/>
  <c r="H64" i="7"/>
  <c r="H76" i="7"/>
  <c r="H88" i="7"/>
  <c r="H100" i="7"/>
  <c r="H112" i="7"/>
  <c r="H124" i="7"/>
  <c r="H136" i="7"/>
  <c r="H148" i="7"/>
  <c r="H18" i="7"/>
  <c r="H30" i="7"/>
  <c r="H42" i="7"/>
  <c r="H54" i="7"/>
  <c r="H66" i="7"/>
  <c r="H78" i="7"/>
  <c r="H90" i="7"/>
  <c r="H102" i="7"/>
  <c r="H114" i="7"/>
  <c r="H126" i="7"/>
  <c r="H138" i="7"/>
  <c r="H150" i="7"/>
  <c r="H131" i="7"/>
  <c r="H158" i="7"/>
  <c r="H170" i="7"/>
  <c r="H182" i="7"/>
  <c r="H194" i="7"/>
  <c r="H206" i="7"/>
  <c r="H218" i="7"/>
  <c r="H71" i="7"/>
  <c r="H153" i="7"/>
  <c r="H165" i="7"/>
  <c r="H177" i="7"/>
  <c r="H189" i="7"/>
  <c r="H201" i="7"/>
  <c r="H213" i="7"/>
  <c r="H225" i="7"/>
  <c r="H237" i="7"/>
  <c r="H249" i="7"/>
  <c r="H261" i="7"/>
  <c r="H273" i="7"/>
  <c r="H11" i="7"/>
  <c r="H160" i="7"/>
  <c r="H172" i="7"/>
  <c r="H184" i="7"/>
  <c r="H196" i="7"/>
  <c r="H208" i="7"/>
  <c r="H220" i="7"/>
  <c r="H232" i="7"/>
  <c r="H244" i="7"/>
  <c r="H256" i="7"/>
  <c r="H268" i="7"/>
  <c r="H280" i="7"/>
  <c r="H95" i="7"/>
  <c r="H155" i="7"/>
  <c r="H167" i="7"/>
  <c r="H179" i="7"/>
  <c r="H191" i="7"/>
  <c r="H203" i="7"/>
  <c r="H215" i="7"/>
  <c r="H227" i="7"/>
  <c r="H239" i="7"/>
  <c r="H251" i="7"/>
  <c r="H263" i="7"/>
  <c r="H275" i="7"/>
  <c r="H35" i="7"/>
  <c r="H162" i="7"/>
  <c r="H174" i="7"/>
  <c r="H186" i="7"/>
  <c r="H198" i="7"/>
  <c r="H210" i="7"/>
  <c r="H222" i="7"/>
  <c r="H234" i="7"/>
  <c r="H246" i="7"/>
  <c r="H258" i="7"/>
  <c r="H270" i="7"/>
  <c r="H119" i="7"/>
  <c r="H157" i="7"/>
  <c r="H169" i="7"/>
  <c r="H181" i="7"/>
  <c r="H193" i="7"/>
  <c r="H205" i="7"/>
  <c r="H217" i="7"/>
  <c r="H229" i="7"/>
  <c r="H241" i="7"/>
  <c r="H253" i="7"/>
  <c r="H265" i="7"/>
  <c r="H277" i="7"/>
  <c r="H59" i="7"/>
  <c r="H152" i="7"/>
  <c r="H164" i="7"/>
  <c r="H176" i="7"/>
  <c r="H188" i="7"/>
  <c r="H200" i="7"/>
  <c r="H212" i="7"/>
  <c r="H224" i="7"/>
  <c r="H236" i="7"/>
  <c r="H248" i="7"/>
  <c r="H260" i="7"/>
  <c r="H272" i="7"/>
  <c r="H143" i="7"/>
  <c r="H159" i="7"/>
  <c r="H171" i="7"/>
  <c r="H183" i="7"/>
  <c r="H195" i="7"/>
  <c r="H207" i="7"/>
  <c r="H219" i="7"/>
  <c r="H231" i="7"/>
  <c r="H243" i="7"/>
  <c r="H255" i="7"/>
  <c r="H267" i="7"/>
  <c r="H83" i="7"/>
  <c r="H154" i="7"/>
  <c r="H166" i="7"/>
  <c r="H178" i="7"/>
  <c r="H190" i="7"/>
  <c r="H202" i="7"/>
  <c r="H214" i="7"/>
  <c r="H226" i="7"/>
  <c r="H238" i="7"/>
  <c r="H250" i="7"/>
  <c r="H262" i="7"/>
  <c r="H274" i="7"/>
  <c r="H47" i="7"/>
  <c r="H163" i="7"/>
  <c r="H175" i="7"/>
  <c r="H187" i="7"/>
  <c r="H199" i="7"/>
  <c r="H211" i="7"/>
  <c r="H223" i="7"/>
  <c r="H235" i="7"/>
  <c r="H247" i="7"/>
  <c r="H259" i="7"/>
  <c r="H271" i="7"/>
  <c r="H23" i="7"/>
  <c r="H161" i="7"/>
  <c r="H230" i="7"/>
  <c r="H287" i="7"/>
  <c r="H295" i="7"/>
  <c r="H283" i="7"/>
  <c r="H192" i="7"/>
  <c r="H245" i="7"/>
  <c r="H278" i="7"/>
  <c r="H294" i="7"/>
  <c r="H107" i="7"/>
  <c r="H257" i="7"/>
  <c r="H173" i="7"/>
  <c r="H252" i="7"/>
  <c r="H279" i="7"/>
  <c r="H282" i="7"/>
  <c r="H289" i="7"/>
  <c r="H290" i="7"/>
  <c r="H221" i="7"/>
  <c r="H204" i="7"/>
  <c r="H266" i="7"/>
  <c r="H284" i="7"/>
  <c r="H168" i="7"/>
  <c r="H185" i="7"/>
  <c r="H233" i="7"/>
  <c r="H291" i="7"/>
  <c r="H242" i="7"/>
  <c r="H216" i="7"/>
  <c r="H240" i="7"/>
  <c r="H286" i="7"/>
  <c r="H285" i="7"/>
  <c r="H197" i="7"/>
  <c r="H254" i="7"/>
  <c r="H293" i="7"/>
  <c r="H156" i="7"/>
  <c r="H269" i="7"/>
  <c r="H288" i="7"/>
  <c r="H209" i="7"/>
  <c r="H228" i="7"/>
  <c r="H276" i="7"/>
  <c r="H281" i="7"/>
  <c r="H180" i="7"/>
  <c r="H264" i="7"/>
  <c r="H292" i="7"/>
  <c r="F15" i="7"/>
  <c r="F27" i="7"/>
  <c r="F39" i="7"/>
  <c r="F51" i="7"/>
  <c r="F63" i="7"/>
  <c r="F75" i="7"/>
  <c r="F87" i="7"/>
  <c r="F99" i="7"/>
  <c r="F111" i="7"/>
  <c r="F123" i="7"/>
  <c r="F135" i="7"/>
  <c r="F147" i="7"/>
  <c r="F10" i="7"/>
  <c r="F22" i="7"/>
  <c r="F34" i="7"/>
  <c r="F46" i="7"/>
  <c r="F58" i="7"/>
  <c r="F70" i="7"/>
  <c r="F82" i="7"/>
  <c r="F94" i="7"/>
  <c r="F106" i="7"/>
  <c r="F118" i="7"/>
  <c r="F130" i="7"/>
  <c r="F142" i="7"/>
  <c r="F17" i="7"/>
  <c r="F29" i="7"/>
  <c r="F41" i="7"/>
  <c r="F53" i="7"/>
  <c r="F65" i="7"/>
  <c r="F77" i="7"/>
  <c r="F89" i="7"/>
  <c r="F101" i="7"/>
  <c r="F113" i="7"/>
  <c r="F125" i="7"/>
  <c r="F137" i="7"/>
  <c r="F149" i="7"/>
  <c r="F12" i="7"/>
  <c r="F24" i="7"/>
  <c r="F36" i="7"/>
  <c r="F48" i="7"/>
  <c r="F60" i="7"/>
  <c r="F72" i="7"/>
  <c r="F84" i="7"/>
  <c r="F96" i="7"/>
  <c r="F108" i="7"/>
  <c r="F120" i="7"/>
  <c r="F132" i="7"/>
  <c r="F144" i="7"/>
  <c r="F19" i="7"/>
  <c r="F31" i="7"/>
  <c r="F43" i="7"/>
  <c r="F55" i="7"/>
  <c r="F67" i="7"/>
  <c r="F79" i="7"/>
  <c r="F91" i="7"/>
  <c r="F103" i="7"/>
  <c r="F115" i="7"/>
  <c r="F127" i="7"/>
  <c r="F139" i="7"/>
  <c r="F151" i="7"/>
  <c r="F14" i="7"/>
  <c r="F26" i="7"/>
  <c r="F38" i="7"/>
  <c r="F50" i="7"/>
  <c r="F62" i="7"/>
  <c r="F74" i="7"/>
  <c r="F86" i="7"/>
  <c r="F98" i="7"/>
  <c r="F110" i="7"/>
  <c r="F122" i="7"/>
  <c r="F134" i="7"/>
  <c r="F146" i="7"/>
  <c r="F9" i="7"/>
  <c r="F21" i="7"/>
  <c r="F33" i="7"/>
  <c r="F45" i="7"/>
  <c r="F57" i="7"/>
  <c r="F69" i="7"/>
  <c r="F81" i="7"/>
  <c r="F93" i="7"/>
  <c r="F105" i="7"/>
  <c r="F117" i="7"/>
  <c r="F129" i="7"/>
  <c r="F141" i="7"/>
  <c r="F16" i="7"/>
  <c r="F28" i="7"/>
  <c r="F40" i="7"/>
  <c r="F52" i="7"/>
  <c r="F64" i="7"/>
  <c r="F76" i="7"/>
  <c r="F88" i="7"/>
  <c r="F100" i="7"/>
  <c r="F112" i="7"/>
  <c r="F124" i="7"/>
  <c r="F136" i="7"/>
  <c r="F148" i="7"/>
  <c r="F11" i="7"/>
  <c r="F23" i="7"/>
  <c r="F35" i="7"/>
  <c r="F47" i="7"/>
  <c r="F59" i="7"/>
  <c r="F71" i="7"/>
  <c r="F83" i="7"/>
  <c r="F95" i="7"/>
  <c r="F107" i="7"/>
  <c r="F119" i="7"/>
  <c r="F131" i="7"/>
  <c r="F143" i="7"/>
  <c r="F18" i="7"/>
  <c r="F30" i="7"/>
  <c r="F42" i="7"/>
  <c r="F54" i="7"/>
  <c r="F66" i="7"/>
  <c r="F78" i="7"/>
  <c r="F90" i="7"/>
  <c r="F102" i="7"/>
  <c r="F114" i="7"/>
  <c r="F126" i="7"/>
  <c r="F138" i="7"/>
  <c r="F150" i="7"/>
  <c r="F8" i="7"/>
  <c r="F20" i="7"/>
  <c r="F32" i="7"/>
  <c r="F44" i="7"/>
  <c r="F56" i="7"/>
  <c r="F68" i="7"/>
  <c r="F80" i="7"/>
  <c r="F92" i="7"/>
  <c r="F104" i="7"/>
  <c r="F116" i="7"/>
  <c r="F128" i="7"/>
  <c r="F140" i="7"/>
  <c r="F49" i="7"/>
  <c r="F160" i="7"/>
  <c r="F172" i="7"/>
  <c r="F184" i="7"/>
  <c r="F196" i="7"/>
  <c r="F208" i="7"/>
  <c r="F220" i="7"/>
  <c r="F133" i="7"/>
  <c r="F155" i="7"/>
  <c r="F167" i="7"/>
  <c r="F179" i="7"/>
  <c r="F191" i="7"/>
  <c r="F203" i="7"/>
  <c r="F215" i="7"/>
  <c r="F227" i="7"/>
  <c r="F239" i="7"/>
  <c r="F251" i="7"/>
  <c r="F263" i="7"/>
  <c r="F275" i="7"/>
  <c r="F73" i="7"/>
  <c r="F162" i="7"/>
  <c r="F174" i="7"/>
  <c r="F186" i="7"/>
  <c r="F198" i="7"/>
  <c r="F210" i="7"/>
  <c r="F222" i="7"/>
  <c r="F234" i="7"/>
  <c r="F246" i="7"/>
  <c r="F258" i="7"/>
  <c r="F270" i="7"/>
  <c r="F13" i="7"/>
  <c r="F157" i="7"/>
  <c r="F169" i="7"/>
  <c r="F181" i="7"/>
  <c r="F193" i="7"/>
  <c r="F205" i="7"/>
  <c r="F217" i="7"/>
  <c r="F229" i="7"/>
  <c r="F241" i="7"/>
  <c r="F253" i="7"/>
  <c r="F265" i="7"/>
  <c r="F277" i="7"/>
  <c r="F97" i="7"/>
  <c r="F152" i="7"/>
  <c r="F164" i="7"/>
  <c r="F176" i="7"/>
  <c r="F188" i="7"/>
  <c r="F200" i="7"/>
  <c r="F212" i="7"/>
  <c r="F224" i="7"/>
  <c r="F236" i="7"/>
  <c r="F248" i="7"/>
  <c r="F260" i="7"/>
  <c r="F272" i="7"/>
  <c r="F37" i="7"/>
  <c r="F159" i="7"/>
  <c r="F171" i="7"/>
  <c r="F183" i="7"/>
  <c r="F195" i="7"/>
  <c r="F207" i="7"/>
  <c r="F219" i="7"/>
  <c r="F231" i="7"/>
  <c r="F243" i="7"/>
  <c r="F255" i="7"/>
  <c r="F267" i="7"/>
  <c r="F279" i="7"/>
  <c r="F121" i="7"/>
  <c r="F154" i="7"/>
  <c r="F166" i="7"/>
  <c r="F178" i="7"/>
  <c r="F190" i="7"/>
  <c r="F202" i="7"/>
  <c r="F214" i="7"/>
  <c r="F226" i="7"/>
  <c r="F238" i="7"/>
  <c r="F250" i="7"/>
  <c r="F262" i="7"/>
  <c r="F274" i="7"/>
  <c r="F61" i="7"/>
  <c r="F161" i="7"/>
  <c r="F173" i="7"/>
  <c r="F185" i="7"/>
  <c r="F197" i="7"/>
  <c r="F209" i="7"/>
  <c r="F221" i="7"/>
  <c r="F233" i="7"/>
  <c r="F245" i="7"/>
  <c r="F257" i="7"/>
  <c r="F269" i="7"/>
  <c r="F145" i="7"/>
  <c r="F156" i="7"/>
  <c r="F168" i="7"/>
  <c r="F180" i="7"/>
  <c r="F192" i="7"/>
  <c r="F204" i="7"/>
  <c r="F216" i="7"/>
  <c r="F228" i="7"/>
  <c r="F240" i="7"/>
  <c r="F252" i="7"/>
  <c r="F264" i="7"/>
  <c r="F276" i="7"/>
  <c r="F109" i="7"/>
  <c r="F153" i="7"/>
  <c r="F165" i="7"/>
  <c r="F177" i="7"/>
  <c r="F189" i="7"/>
  <c r="F201" i="7"/>
  <c r="F213" i="7"/>
  <c r="F225" i="7"/>
  <c r="F237" i="7"/>
  <c r="F249" i="7"/>
  <c r="F261" i="7"/>
  <c r="F273" i="7"/>
  <c r="F223" i="7"/>
  <c r="F244" i="7"/>
  <c r="F278" i="7"/>
  <c r="F289" i="7"/>
  <c r="F25" i="7"/>
  <c r="F182" i="7"/>
  <c r="F259" i="7"/>
  <c r="F282" i="7"/>
  <c r="F284" i="7"/>
  <c r="F7" i="7"/>
  <c r="F163" i="7"/>
  <c r="F266" i="7"/>
  <c r="F291" i="7"/>
  <c r="F194" i="7"/>
  <c r="F232" i="7"/>
  <c r="F286" i="7"/>
  <c r="F287" i="7"/>
  <c r="F175" i="7"/>
  <c r="F247" i="7"/>
  <c r="F293" i="7"/>
  <c r="F206" i="7"/>
  <c r="F254" i="7"/>
  <c r="F280" i="7"/>
  <c r="F288" i="7"/>
  <c r="F158" i="7"/>
  <c r="F85" i="7"/>
  <c r="F187" i="7"/>
  <c r="F268" i="7"/>
  <c r="F281" i="7"/>
  <c r="F295" i="7"/>
  <c r="F218" i="7"/>
  <c r="F235" i="7"/>
  <c r="F283" i="7"/>
  <c r="F290" i="7"/>
  <c r="F256" i="7"/>
  <c r="F292" i="7"/>
  <c r="F211" i="7"/>
  <c r="F199" i="7"/>
  <c r="F242" i="7"/>
  <c r="F285" i="7"/>
  <c r="F170" i="7"/>
  <c r="F230" i="7"/>
  <c r="F294" i="7"/>
  <c r="F271" i="7"/>
  <c r="G8" i="7"/>
  <c r="G20" i="7"/>
  <c r="G32" i="7"/>
  <c r="G44" i="7"/>
  <c r="G56" i="7"/>
  <c r="G68" i="7"/>
  <c r="G80" i="7"/>
  <c r="G92" i="7"/>
  <c r="G104" i="7"/>
  <c r="G116" i="7"/>
  <c r="G128" i="7"/>
  <c r="G140" i="7"/>
  <c r="G15" i="7"/>
  <c r="G27" i="7"/>
  <c r="G39" i="7"/>
  <c r="G51" i="7"/>
  <c r="G63" i="7"/>
  <c r="G75" i="7"/>
  <c r="G87" i="7"/>
  <c r="G99" i="7"/>
  <c r="G111" i="7"/>
  <c r="G123" i="7"/>
  <c r="G135" i="7"/>
  <c r="G147" i="7"/>
  <c r="G10" i="7"/>
  <c r="G22" i="7"/>
  <c r="G34" i="7"/>
  <c r="G46" i="7"/>
  <c r="G58" i="7"/>
  <c r="G70" i="7"/>
  <c r="G82" i="7"/>
  <c r="G94" i="7"/>
  <c r="G106" i="7"/>
  <c r="G118" i="7"/>
  <c r="G130" i="7"/>
  <c r="G142" i="7"/>
  <c r="G17" i="7"/>
  <c r="G29" i="7"/>
  <c r="G41" i="7"/>
  <c r="G53" i="7"/>
  <c r="G65" i="7"/>
  <c r="G77" i="7"/>
  <c r="G89" i="7"/>
  <c r="G101" i="7"/>
  <c r="G113" i="7"/>
  <c r="G125" i="7"/>
  <c r="G137" i="7"/>
  <c r="G149" i="7"/>
  <c r="G12" i="7"/>
  <c r="G24" i="7"/>
  <c r="G36" i="7"/>
  <c r="G48" i="7"/>
  <c r="G60" i="7"/>
  <c r="G72" i="7"/>
  <c r="G84" i="7"/>
  <c r="G96" i="7"/>
  <c r="G108" i="7"/>
  <c r="G120" i="7"/>
  <c r="G132" i="7"/>
  <c r="G144" i="7"/>
  <c r="G19" i="7"/>
  <c r="G31" i="7"/>
  <c r="G43" i="7"/>
  <c r="G55" i="7"/>
  <c r="G67" i="7"/>
  <c r="G79" i="7"/>
  <c r="G91" i="7"/>
  <c r="G103" i="7"/>
  <c r="G115" i="7"/>
  <c r="G127" i="7"/>
  <c r="G139" i="7"/>
  <c r="G151" i="7"/>
  <c r="G14" i="7"/>
  <c r="G26" i="7"/>
  <c r="G38" i="7"/>
  <c r="G50" i="7"/>
  <c r="G62" i="7"/>
  <c r="G74" i="7"/>
  <c r="G86" i="7"/>
  <c r="G98" i="7"/>
  <c r="G110" i="7"/>
  <c r="G122" i="7"/>
  <c r="G134" i="7"/>
  <c r="G146" i="7"/>
  <c r="G9" i="7"/>
  <c r="G21" i="7"/>
  <c r="G33" i="7"/>
  <c r="G45" i="7"/>
  <c r="G57" i="7"/>
  <c r="G69" i="7"/>
  <c r="G81" i="7"/>
  <c r="G93" i="7"/>
  <c r="G105" i="7"/>
  <c r="G117" i="7"/>
  <c r="G129" i="7"/>
  <c r="G141" i="7"/>
  <c r="G16" i="7"/>
  <c r="G28" i="7"/>
  <c r="G40" i="7"/>
  <c r="G52" i="7"/>
  <c r="G64" i="7"/>
  <c r="G76" i="7"/>
  <c r="G88" i="7"/>
  <c r="G100" i="7"/>
  <c r="G112" i="7"/>
  <c r="G124" i="7"/>
  <c r="G136" i="7"/>
  <c r="G148" i="7"/>
  <c r="G11" i="7"/>
  <c r="G23" i="7"/>
  <c r="G35" i="7"/>
  <c r="G47" i="7"/>
  <c r="G59" i="7"/>
  <c r="G71" i="7"/>
  <c r="G83" i="7"/>
  <c r="G95" i="7"/>
  <c r="G107" i="7"/>
  <c r="G119" i="7"/>
  <c r="G131" i="7"/>
  <c r="G143" i="7"/>
  <c r="G13" i="7"/>
  <c r="G25" i="7"/>
  <c r="G37" i="7"/>
  <c r="G49" i="7"/>
  <c r="G61" i="7"/>
  <c r="G73" i="7"/>
  <c r="G85" i="7"/>
  <c r="G97" i="7"/>
  <c r="G109" i="7"/>
  <c r="G121" i="7"/>
  <c r="G133" i="7"/>
  <c r="G145" i="7"/>
  <c r="G90" i="7"/>
  <c r="G153" i="7"/>
  <c r="G165" i="7"/>
  <c r="G177" i="7"/>
  <c r="G189" i="7"/>
  <c r="G201" i="7"/>
  <c r="G213" i="7"/>
  <c r="G225" i="7"/>
  <c r="G30" i="7"/>
  <c r="G160" i="7"/>
  <c r="G172" i="7"/>
  <c r="G184" i="7"/>
  <c r="G196" i="7"/>
  <c r="G208" i="7"/>
  <c r="G220" i="7"/>
  <c r="G232" i="7"/>
  <c r="G244" i="7"/>
  <c r="G256" i="7"/>
  <c r="G268" i="7"/>
  <c r="G280" i="7"/>
  <c r="G114" i="7"/>
  <c r="G155" i="7"/>
  <c r="G167" i="7"/>
  <c r="G179" i="7"/>
  <c r="G191" i="7"/>
  <c r="G203" i="7"/>
  <c r="G215" i="7"/>
  <c r="G227" i="7"/>
  <c r="G239" i="7"/>
  <c r="G251" i="7"/>
  <c r="G263" i="7"/>
  <c r="G275" i="7"/>
  <c r="G54" i="7"/>
  <c r="G162" i="7"/>
  <c r="G174" i="7"/>
  <c r="G186" i="7"/>
  <c r="G198" i="7"/>
  <c r="G210" i="7"/>
  <c r="G222" i="7"/>
  <c r="G234" i="7"/>
  <c r="G246" i="7"/>
  <c r="G258" i="7"/>
  <c r="G270" i="7"/>
  <c r="G282" i="7"/>
  <c r="G138" i="7"/>
  <c r="G157" i="7"/>
  <c r="G169" i="7"/>
  <c r="G181" i="7"/>
  <c r="G193" i="7"/>
  <c r="G205" i="7"/>
  <c r="G217" i="7"/>
  <c r="G229" i="7"/>
  <c r="G241" i="7"/>
  <c r="G253" i="7"/>
  <c r="G265" i="7"/>
  <c r="G277" i="7"/>
  <c r="G78" i="7"/>
  <c r="G152" i="7"/>
  <c r="G164" i="7"/>
  <c r="G176" i="7"/>
  <c r="G188" i="7"/>
  <c r="G200" i="7"/>
  <c r="G212" i="7"/>
  <c r="G224" i="7"/>
  <c r="G236" i="7"/>
  <c r="G248" i="7"/>
  <c r="G260" i="7"/>
  <c r="G272" i="7"/>
  <c r="G18" i="7"/>
  <c r="G159" i="7"/>
  <c r="G171" i="7"/>
  <c r="G183" i="7"/>
  <c r="G195" i="7"/>
  <c r="G207" i="7"/>
  <c r="G219" i="7"/>
  <c r="G231" i="7"/>
  <c r="G243" i="7"/>
  <c r="G255" i="7"/>
  <c r="G267" i="7"/>
  <c r="G279" i="7"/>
  <c r="G102" i="7"/>
  <c r="G154" i="7"/>
  <c r="G166" i="7"/>
  <c r="G178" i="7"/>
  <c r="G190" i="7"/>
  <c r="G202" i="7"/>
  <c r="G214" i="7"/>
  <c r="G226" i="7"/>
  <c r="G238" i="7"/>
  <c r="G250" i="7"/>
  <c r="G262" i="7"/>
  <c r="G274" i="7"/>
  <c r="G42" i="7"/>
  <c r="G161" i="7"/>
  <c r="G173" i="7"/>
  <c r="G185" i="7"/>
  <c r="G197" i="7"/>
  <c r="G209" i="7"/>
  <c r="G221" i="7"/>
  <c r="G233" i="7"/>
  <c r="G245" i="7"/>
  <c r="G257" i="7"/>
  <c r="G269" i="7"/>
  <c r="G150" i="7"/>
  <c r="G158" i="7"/>
  <c r="G170" i="7"/>
  <c r="G182" i="7"/>
  <c r="G194" i="7"/>
  <c r="G206" i="7"/>
  <c r="G218" i="7"/>
  <c r="G230" i="7"/>
  <c r="G242" i="7"/>
  <c r="G254" i="7"/>
  <c r="G266" i="7"/>
  <c r="G278" i="7"/>
  <c r="G192" i="7"/>
  <c r="G237" i="7"/>
  <c r="G294" i="7"/>
  <c r="G223" i="7"/>
  <c r="G252" i="7"/>
  <c r="G289" i="7"/>
  <c r="G7" i="7"/>
  <c r="G204" i="7"/>
  <c r="G259" i="7"/>
  <c r="G284" i="7"/>
  <c r="G163" i="7"/>
  <c r="G273" i="7"/>
  <c r="G291" i="7"/>
  <c r="G249" i="7"/>
  <c r="G216" i="7"/>
  <c r="G240" i="7"/>
  <c r="G286" i="7"/>
  <c r="G264" i="7"/>
  <c r="G292" i="7"/>
  <c r="G66" i="7"/>
  <c r="G175" i="7"/>
  <c r="G247" i="7"/>
  <c r="G293" i="7"/>
  <c r="G156" i="7"/>
  <c r="G261" i="7"/>
  <c r="G288" i="7"/>
  <c r="G126" i="7"/>
  <c r="G187" i="7"/>
  <c r="G228" i="7"/>
  <c r="G276" i="7"/>
  <c r="G281" i="7"/>
  <c r="G295" i="7"/>
  <c r="G199" i="7"/>
  <c r="G168" i="7"/>
  <c r="G235" i="7"/>
  <c r="G283" i="7"/>
  <c r="G290" i="7"/>
  <c r="G211" i="7"/>
  <c r="G271" i="7"/>
  <c r="G287" i="7"/>
  <c r="G285" i="7"/>
  <c r="G180" i="7"/>
  <c r="H7" i="7"/>
  <c r="A12" i="7"/>
  <c r="B5" i="1"/>
  <c r="A7" i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I2" i="1"/>
  <c r="I4" i="1" s="1"/>
  <c r="H4" i="7" l="1"/>
  <c r="G4" i="7"/>
  <c r="F4" i="7"/>
  <c r="C4" i="7"/>
  <c r="B4" i="7"/>
  <c r="D4" i="7"/>
  <c r="E4" i="7"/>
  <c r="A13" i="7"/>
  <c r="I10" i="7"/>
  <c r="I7" i="7"/>
  <c r="I9" i="7"/>
  <c r="I8" i="7"/>
  <c r="I11" i="7"/>
  <c r="I5" i="1"/>
  <c r="A14" i="7" l="1"/>
  <c r="I6" i="1"/>
  <c r="A15" i="7" l="1"/>
  <c r="I13" i="7"/>
  <c r="I12" i="7"/>
  <c r="B7" i="1"/>
  <c r="D7" i="1" s="1"/>
  <c r="B19" i="1"/>
  <c r="D19" i="1" s="1"/>
  <c r="B31" i="1"/>
  <c r="D31" i="1" s="1"/>
  <c r="B43" i="1"/>
  <c r="D43" i="1" s="1"/>
  <c r="B55" i="1"/>
  <c r="D55" i="1" s="1"/>
  <c r="B67" i="1"/>
  <c r="D67" i="1" s="1"/>
  <c r="B79" i="1"/>
  <c r="D79" i="1" s="1"/>
  <c r="B91" i="1"/>
  <c r="D91" i="1" s="1"/>
  <c r="B103" i="1"/>
  <c r="D103" i="1" s="1"/>
  <c r="B115" i="1"/>
  <c r="D115" i="1" s="1"/>
  <c r="B127" i="1"/>
  <c r="D127" i="1" s="1"/>
  <c r="B139" i="1"/>
  <c r="D139" i="1" s="1"/>
  <c r="B151" i="1"/>
  <c r="D151" i="1" s="1"/>
  <c r="B163" i="1"/>
  <c r="D163" i="1" s="1"/>
  <c r="B175" i="1"/>
  <c r="D175" i="1" s="1"/>
  <c r="B187" i="1"/>
  <c r="D187" i="1" s="1"/>
  <c r="B199" i="1"/>
  <c r="D199" i="1" s="1"/>
  <c r="B211" i="1"/>
  <c r="D211" i="1" s="1"/>
  <c r="B223" i="1"/>
  <c r="D223" i="1" s="1"/>
  <c r="B235" i="1"/>
  <c r="D235" i="1" s="1"/>
  <c r="B247" i="1"/>
  <c r="D247" i="1" s="1"/>
  <c r="B259" i="1"/>
  <c r="D259" i="1" s="1"/>
  <c r="B271" i="1"/>
  <c r="D271" i="1" s="1"/>
  <c r="B283" i="1"/>
  <c r="D283" i="1" s="1"/>
  <c r="B6" i="1"/>
  <c r="B285" i="1"/>
  <c r="D285" i="1" s="1"/>
  <c r="B173" i="1"/>
  <c r="D173" i="1" s="1"/>
  <c r="B293" i="1"/>
  <c r="D293" i="1" s="1"/>
  <c r="B150" i="1"/>
  <c r="D150" i="1" s="1"/>
  <c r="B270" i="1"/>
  <c r="D270" i="1" s="1"/>
  <c r="B8" i="1"/>
  <c r="D8" i="1" s="1"/>
  <c r="B20" i="1"/>
  <c r="D20" i="1" s="1"/>
  <c r="B32" i="1"/>
  <c r="D32" i="1" s="1"/>
  <c r="B44" i="1"/>
  <c r="D44" i="1" s="1"/>
  <c r="B56" i="1"/>
  <c r="D56" i="1" s="1"/>
  <c r="B68" i="1"/>
  <c r="D68" i="1" s="1"/>
  <c r="B80" i="1"/>
  <c r="D80" i="1" s="1"/>
  <c r="B92" i="1"/>
  <c r="D92" i="1" s="1"/>
  <c r="B104" i="1"/>
  <c r="D104" i="1" s="1"/>
  <c r="B116" i="1"/>
  <c r="D116" i="1" s="1"/>
  <c r="B128" i="1"/>
  <c r="D128" i="1" s="1"/>
  <c r="B140" i="1"/>
  <c r="D140" i="1" s="1"/>
  <c r="B152" i="1"/>
  <c r="D152" i="1" s="1"/>
  <c r="B164" i="1"/>
  <c r="D164" i="1" s="1"/>
  <c r="B176" i="1"/>
  <c r="D176" i="1" s="1"/>
  <c r="B188" i="1"/>
  <c r="D188" i="1" s="1"/>
  <c r="B200" i="1"/>
  <c r="D200" i="1" s="1"/>
  <c r="B212" i="1"/>
  <c r="D212" i="1" s="1"/>
  <c r="B224" i="1"/>
  <c r="D224" i="1" s="1"/>
  <c r="B236" i="1"/>
  <c r="D236" i="1" s="1"/>
  <c r="B248" i="1"/>
  <c r="D248" i="1" s="1"/>
  <c r="B260" i="1"/>
  <c r="D260" i="1" s="1"/>
  <c r="B272" i="1"/>
  <c r="D272" i="1" s="1"/>
  <c r="B284" i="1"/>
  <c r="D284" i="1" s="1"/>
  <c r="B77" i="1"/>
  <c r="D77" i="1" s="1"/>
  <c r="B221" i="1"/>
  <c r="D221" i="1" s="1"/>
  <c r="B54" i="1"/>
  <c r="D54" i="1" s="1"/>
  <c r="B174" i="1"/>
  <c r="D174" i="1" s="1"/>
  <c r="B294" i="1"/>
  <c r="D294" i="1" s="1"/>
  <c r="B9" i="1"/>
  <c r="D9" i="1" s="1"/>
  <c r="B21" i="1"/>
  <c r="D21" i="1" s="1"/>
  <c r="B33" i="1"/>
  <c r="D33" i="1" s="1"/>
  <c r="B45" i="1"/>
  <c r="D45" i="1" s="1"/>
  <c r="B57" i="1"/>
  <c r="D57" i="1" s="1"/>
  <c r="B69" i="1"/>
  <c r="D69" i="1" s="1"/>
  <c r="B81" i="1"/>
  <c r="D81" i="1" s="1"/>
  <c r="B93" i="1"/>
  <c r="D93" i="1" s="1"/>
  <c r="B105" i="1"/>
  <c r="D105" i="1" s="1"/>
  <c r="B117" i="1"/>
  <c r="D117" i="1" s="1"/>
  <c r="B129" i="1"/>
  <c r="D129" i="1" s="1"/>
  <c r="B141" i="1"/>
  <c r="D141" i="1" s="1"/>
  <c r="B153" i="1"/>
  <c r="D153" i="1" s="1"/>
  <c r="B165" i="1"/>
  <c r="D165" i="1" s="1"/>
  <c r="B177" i="1"/>
  <c r="D177" i="1" s="1"/>
  <c r="B189" i="1"/>
  <c r="D189" i="1" s="1"/>
  <c r="B201" i="1"/>
  <c r="D201" i="1" s="1"/>
  <c r="B213" i="1"/>
  <c r="D213" i="1" s="1"/>
  <c r="B225" i="1"/>
  <c r="D225" i="1" s="1"/>
  <c r="B237" i="1"/>
  <c r="D237" i="1" s="1"/>
  <c r="B249" i="1"/>
  <c r="D249" i="1" s="1"/>
  <c r="B261" i="1"/>
  <c r="D261" i="1" s="1"/>
  <c r="B273" i="1"/>
  <c r="D273" i="1" s="1"/>
  <c r="B125" i="1"/>
  <c r="D125" i="1" s="1"/>
  <c r="B245" i="1"/>
  <c r="D245" i="1" s="1"/>
  <c r="B90" i="1"/>
  <c r="D90" i="1" s="1"/>
  <c r="B210" i="1"/>
  <c r="D210" i="1" s="1"/>
  <c r="B10" i="1"/>
  <c r="D10" i="1" s="1"/>
  <c r="B22" i="1"/>
  <c r="D22" i="1" s="1"/>
  <c r="B34" i="1"/>
  <c r="D34" i="1" s="1"/>
  <c r="B46" i="1"/>
  <c r="D46" i="1" s="1"/>
  <c r="B58" i="1"/>
  <c r="D58" i="1" s="1"/>
  <c r="B70" i="1"/>
  <c r="D70" i="1" s="1"/>
  <c r="B82" i="1"/>
  <c r="D82" i="1" s="1"/>
  <c r="B94" i="1"/>
  <c r="D94" i="1" s="1"/>
  <c r="B106" i="1"/>
  <c r="D106" i="1" s="1"/>
  <c r="B118" i="1"/>
  <c r="D118" i="1" s="1"/>
  <c r="B130" i="1"/>
  <c r="D130" i="1" s="1"/>
  <c r="B142" i="1"/>
  <c r="D142" i="1" s="1"/>
  <c r="B154" i="1"/>
  <c r="D154" i="1" s="1"/>
  <c r="B166" i="1"/>
  <c r="D166" i="1" s="1"/>
  <c r="B178" i="1"/>
  <c r="D178" i="1" s="1"/>
  <c r="B190" i="1"/>
  <c r="D190" i="1" s="1"/>
  <c r="B202" i="1"/>
  <c r="D202" i="1" s="1"/>
  <c r="B214" i="1"/>
  <c r="D214" i="1" s="1"/>
  <c r="B226" i="1"/>
  <c r="D226" i="1" s="1"/>
  <c r="B238" i="1"/>
  <c r="D238" i="1" s="1"/>
  <c r="B250" i="1"/>
  <c r="D250" i="1" s="1"/>
  <c r="B262" i="1"/>
  <c r="D262" i="1" s="1"/>
  <c r="B274" i="1"/>
  <c r="D274" i="1" s="1"/>
  <c r="B286" i="1"/>
  <c r="D286" i="1" s="1"/>
  <c r="B278" i="1"/>
  <c r="D278" i="1" s="1"/>
  <c r="B149" i="1"/>
  <c r="D149" i="1" s="1"/>
  <c r="B257" i="1"/>
  <c r="D257" i="1" s="1"/>
  <c r="B78" i="1"/>
  <c r="D78" i="1" s="1"/>
  <c r="B198" i="1"/>
  <c r="D198" i="1" s="1"/>
  <c r="B11" i="1"/>
  <c r="D11" i="1" s="1"/>
  <c r="B23" i="1"/>
  <c r="D23" i="1" s="1"/>
  <c r="B35" i="1"/>
  <c r="D35" i="1" s="1"/>
  <c r="B47" i="1"/>
  <c r="D47" i="1" s="1"/>
  <c r="B59" i="1"/>
  <c r="D59" i="1" s="1"/>
  <c r="B71" i="1"/>
  <c r="D71" i="1" s="1"/>
  <c r="B83" i="1"/>
  <c r="D83" i="1" s="1"/>
  <c r="B95" i="1"/>
  <c r="D95" i="1" s="1"/>
  <c r="B107" i="1"/>
  <c r="D107" i="1" s="1"/>
  <c r="B119" i="1"/>
  <c r="D119" i="1" s="1"/>
  <c r="B131" i="1"/>
  <c r="D131" i="1" s="1"/>
  <c r="B143" i="1"/>
  <c r="D143" i="1" s="1"/>
  <c r="B155" i="1"/>
  <c r="D155" i="1" s="1"/>
  <c r="B167" i="1"/>
  <c r="D167" i="1" s="1"/>
  <c r="B179" i="1"/>
  <c r="D179" i="1" s="1"/>
  <c r="B191" i="1"/>
  <c r="D191" i="1" s="1"/>
  <c r="B203" i="1"/>
  <c r="D203" i="1" s="1"/>
  <c r="B215" i="1"/>
  <c r="D215" i="1" s="1"/>
  <c r="B227" i="1"/>
  <c r="D227" i="1" s="1"/>
  <c r="B239" i="1"/>
  <c r="D239" i="1" s="1"/>
  <c r="B251" i="1"/>
  <c r="D251" i="1" s="1"/>
  <c r="B263" i="1"/>
  <c r="D263" i="1" s="1"/>
  <c r="B275" i="1"/>
  <c r="D275" i="1" s="1"/>
  <c r="B287" i="1"/>
  <c r="D287" i="1" s="1"/>
  <c r="B17" i="1"/>
  <c r="D17" i="1" s="1"/>
  <c r="B65" i="1"/>
  <c r="D65" i="1" s="1"/>
  <c r="B185" i="1"/>
  <c r="D185" i="1" s="1"/>
  <c r="B18" i="1"/>
  <c r="D18" i="1" s="1"/>
  <c r="B126" i="1"/>
  <c r="D126" i="1" s="1"/>
  <c r="B246" i="1"/>
  <c r="D246" i="1" s="1"/>
  <c r="B12" i="1"/>
  <c r="D12" i="1" s="1"/>
  <c r="B24" i="1"/>
  <c r="D24" i="1" s="1"/>
  <c r="B36" i="1"/>
  <c r="D36" i="1" s="1"/>
  <c r="B48" i="1"/>
  <c r="D48" i="1" s="1"/>
  <c r="B60" i="1"/>
  <c r="D60" i="1" s="1"/>
  <c r="B72" i="1"/>
  <c r="D72" i="1" s="1"/>
  <c r="B84" i="1"/>
  <c r="D84" i="1" s="1"/>
  <c r="B96" i="1"/>
  <c r="D96" i="1" s="1"/>
  <c r="B108" i="1"/>
  <c r="D108" i="1" s="1"/>
  <c r="B120" i="1"/>
  <c r="D120" i="1" s="1"/>
  <c r="B132" i="1"/>
  <c r="D132" i="1" s="1"/>
  <c r="B144" i="1"/>
  <c r="D144" i="1" s="1"/>
  <c r="B156" i="1"/>
  <c r="D156" i="1" s="1"/>
  <c r="B168" i="1"/>
  <c r="D168" i="1" s="1"/>
  <c r="B180" i="1"/>
  <c r="D180" i="1" s="1"/>
  <c r="B192" i="1"/>
  <c r="D192" i="1" s="1"/>
  <c r="B204" i="1"/>
  <c r="D204" i="1" s="1"/>
  <c r="B216" i="1"/>
  <c r="D216" i="1" s="1"/>
  <c r="B228" i="1"/>
  <c r="D228" i="1" s="1"/>
  <c r="B240" i="1"/>
  <c r="D240" i="1" s="1"/>
  <c r="B252" i="1"/>
  <c r="D252" i="1" s="1"/>
  <c r="B264" i="1"/>
  <c r="D264" i="1" s="1"/>
  <c r="B276" i="1"/>
  <c r="D276" i="1" s="1"/>
  <c r="B288" i="1"/>
  <c r="D288" i="1" s="1"/>
  <c r="B41" i="1"/>
  <c r="D41" i="1" s="1"/>
  <c r="B101" i="1"/>
  <c r="D101" i="1" s="1"/>
  <c r="B197" i="1"/>
  <c r="D197" i="1" s="1"/>
  <c r="B30" i="1"/>
  <c r="D30" i="1" s="1"/>
  <c r="B138" i="1"/>
  <c r="D138" i="1" s="1"/>
  <c r="B258" i="1"/>
  <c r="D258" i="1" s="1"/>
  <c r="B13" i="1"/>
  <c r="D13" i="1" s="1"/>
  <c r="B25" i="1"/>
  <c r="D25" i="1" s="1"/>
  <c r="B37" i="1"/>
  <c r="D37" i="1" s="1"/>
  <c r="B49" i="1"/>
  <c r="D49" i="1" s="1"/>
  <c r="B61" i="1"/>
  <c r="D61" i="1" s="1"/>
  <c r="B73" i="1"/>
  <c r="D73" i="1" s="1"/>
  <c r="B85" i="1"/>
  <c r="D85" i="1" s="1"/>
  <c r="B97" i="1"/>
  <c r="D97" i="1" s="1"/>
  <c r="B109" i="1"/>
  <c r="D109" i="1" s="1"/>
  <c r="B121" i="1"/>
  <c r="D121" i="1" s="1"/>
  <c r="B133" i="1"/>
  <c r="D133" i="1" s="1"/>
  <c r="B145" i="1"/>
  <c r="D145" i="1" s="1"/>
  <c r="B157" i="1"/>
  <c r="D157" i="1" s="1"/>
  <c r="B169" i="1"/>
  <c r="D169" i="1" s="1"/>
  <c r="B181" i="1"/>
  <c r="D181" i="1" s="1"/>
  <c r="B193" i="1"/>
  <c r="D193" i="1" s="1"/>
  <c r="B205" i="1"/>
  <c r="D205" i="1" s="1"/>
  <c r="B217" i="1"/>
  <c r="D217" i="1" s="1"/>
  <c r="B229" i="1"/>
  <c r="D229" i="1" s="1"/>
  <c r="B241" i="1"/>
  <c r="D241" i="1" s="1"/>
  <c r="B253" i="1"/>
  <c r="D253" i="1" s="1"/>
  <c r="B265" i="1"/>
  <c r="D265" i="1" s="1"/>
  <c r="B277" i="1"/>
  <c r="D277" i="1" s="1"/>
  <c r="B289" i="1"/>
  <c r="D289" i="1" s="1"/>
  <c r="B291" i="1"/>
  <c r="D291" i="1" s="1"/>
  <c r="B161" i="1"/>
  <c r="D161" i="1" s="1"/>
  <c r="B281" i="1"/>
  <c r="D281" i="1" s="1"/>
  <c r="B114" i="1"/>
  <c r="D114" i="1" s="1"/>
  <c r="B234" i="1"/>
  <c r="D234" i="1" s="1"/>
  <c r="B14" i="1"/>
  <c r="D14" i="1" s="1"/>
  <c r="B26" i="1"/>
  <c r="D26" i="1" s="1"/>
  <c r="B38" i="1"/>
  <c r="D38" i="1" s="1"/>
  <c r="B50" i="1"/>
  <c r="D50" i="1" s="1"/>
  <c r="B62" i="1"/>
  <c r="D62" i="1" s="1"/>
  <c r="B74" i="1"/>
  <c r="D74" i="1" s="1"/>
  <c r="B86" i="1"/>
  <c r="D86" i="1" s="1"/>
  <c r="B98" i="1"/>
  <c r="D98" i="1" s="1"/>
  <c r="B110" i="1"/>
  <c r="D110" i="1" s="1"/>
  <c r="B122" i="1"/>
  <c r="D122" i="1" s="1"/>
  <c r="B134" i="1"/>
  <c r="D134" i="1" s="1"/>
  <c r="B146" i="1"/>
  <c r="D146" i="1" s="1"/>
  <c r="B158" i="1"/>
  <c r="D158" i="1" s="1"/>
  <c r="B170" i="1"/>
  <c r="D170" i="1" s="1"/>
  <c r="B182" i="1"/>
  <c r="D182" i="1" s="1"/>
  <c r="B194" i="1"/>
  <c r="D194" i="1" s="1"/>
  <c r="B206" i="1"/>
  <c r="D206" i="1" s="1"/>
  <c r="B218" i="1"/>
  <c r="D218" i="1" s="1"/>
  <c r="B230" i="1"/>
  <c r="D230" i="1" s="1"/>
  <c r="B242" i="1"/>
  <c r="D242" i="1" s="1"/>
  <c r="B254" i="1"/>
  <c r="D254" i="1" s="1"/>
  <c r="B266" i="1"/>
  <c r="D266" i="1" s="1"/>
  <c r="B290" i="1"/>
  <c r="D290" i="1" s="1"/>
  <c r="B137" i="1"/>
  <c r="D137" i="1" s="1"/>
  <c r="B269" i="1"/>
  <c r="D269" i="1" s="1"/>
  <c r="B102" i="1"/>
  <c r="D102" i="1" s="1"/>
  <c r="B222" i="1"/>
  <c r="D222" i="1" s="1"/>
  <c r="B15" i="1"/>
  <c r="D15" i="1" s="1"/>
  <c r="B27" i="1"/>
  <c r="D27" i="1" s="1"/>
  <c r="B39" i="1"/>
  <c r="D39" i="1" s="1"/>
  <c r="B51" i="1"/>
  <c r="D51" i="1" s="1"/>
  <c r="B63" i="1"/>
  <c r="D63" i="1" s="1"/>
  <c r="B75" i="1"/>
  <c r="D75" i="1" s="1"/>
  <c r="B87" i="1"/>
  <c r="D87" i="1" s="1"/>
  <c r="B99" i="1"/>
  <c r="D99" i="1" s="1"/>
  <c r="B111" i="1"/>
  <c r="D111" i="1" s="1"/>
  <c r="B123" i="1"/>
  <c r="D123" i="1" s="1"/>
  <c r="B135" i="1"/>
  <c r="D135" i="1" s="1"/>
  <c r="B147" i="1"/>
  <c r="D147" i="1" s="1"/>
  <c r="B159" i="1"/>
  <c r="D159" i="1" s="1"/>
  <c r="B171" i="1"/>
  <c r="D171" i="1" s="1"/>
  <c r="B183" i="1"/>
  <c r="D183" i="1" s="1"/>
  <c r="B195" i="1"/>
  <c r="D195" i="1" s="1"/>
  <c r="B207" i="1"/>
  <c r="D207" i="1" s="1"/>
  <c r="B219" i="1"/>
  <c r="D219" i="1" s="1"/>
  <c r="B231" i="1"/>
  <c r="D231" i="1" s="1"/>
  <c r="B243" i="1"/>
  <c r="D243" i="1" s="1"/>
  <c r="B255" i="1"/>
  <c r="D255" i="1" s="1"/>
  <c r="B267" i="1"/>
  <c r="D267" i="1" s="1"/>
  <c r="B279" i="1"/>
  <c r="D279" i="1" s="1"/>
  <c r="B53" i="1"/>
  <c r="D53" i="1" s="1"/>
  <c r="B113" i="1"/>
  <c r="D113" i="1" s="1"/>
  <c r="B233" i="1"/>
  <c r="D233" i="1" s="1"/>
  <c r="B66" i="1"/>
  <c r="D66" i="1" s="1"/>
  <c r="B186" i="1"/>
  <c r="D186" i="1" s="1"/>
  <c r="B16" i="1"/>
  <c r="D16" i="1" s="1"/>
  <c r="B28" i="1"/>
  <c r="D28" i="1" s="1"/>
  <c r="B40" i="1"/>
  <c r="D40" i="1" s="1"/>
  <c r="B52" i="1"/>
  <c r="D52" i="1" s="1"/>
  <c r="B64" i="1"/>
  <c r="D64" i="1" s="1"/>
  <c r="B76" i="1"/>
  <c r="D76" i="1" s="1"/>
  <c r="B88" i="1"/>
  <c r="D88" i="1" s="1"/>
  <c r="B100" i="1"/>
  <c r="D100" i="1" s="1"/>
  <c r="B112" i="1"/>
  <c r="D112" i="1" s="1"/>
  <c r="B124" i="1"/>
  <c r="D124" i="1" s="1"/>
  <c r="B136" i="1"/>
  <c r="D136" i="1" s="1"/>
  <c r="B148" i="1"/>
  <c r="D148" i="1" s="1"/>
  <c r="B160" i="1"/>
  <c r="D160" i="1" s="1"/>
  <c r="B172" i="1"/>
  <c r="D172" i="1" s="1"/>
  <c r="B184" i="1"/>
  <c r="D184" i="1" s="1"/>
  <c r="B196" i="1"/>
  <c r="D196" i="1" s="1"/>
  <c r="B208" i="1"/>
  <c r="D208" i="1" s="1"/>
  <c r="B220" i="1"/>
  <c r="D220" i="1" s="1"/>
  <c r="B232" i="1"/>
  <c r="D232" i="1" s="1"/>
  <c r="B244" i="1"/>
  <c r="D244" i="1" s="1"/>
  <c r="B256" i="1"/>
  <c r="D256" i="1" s="1"/>
  <c r="B268" i="1"/>
  <c r="D268" i="1" s="1"/>
  <c r="B280" i="1"/>
  <c r="D280" i="1" s="1"/>
  <c r="B292" i="1"/>
  <c r="D292" i="1" s="1"/>
  <c r="B29" i="1"/>
  <c r="D29" i="1" s="1"/>
  <c r="B89" i="1"/>
  <c r="D89" i="1" s="1"/>
  <c r="B209" i="1"/>
  <c r="D209" i="1" s="1"/>
  <c r="B42" i="1"/>
  <c r="D42" i="1" s="1"/>
  <c r="B162" i="1"/>
  <c r="D162" i="1" s="1"/>
  <c r="B282" i="1"/>
  <c r="D282" i="1" s="1"/>
  <c r="A16" i="7" l="1"/>
  <c r="D6" i="1"/>
  <c r="E127" i="1" s="1"/>
  <c r="B4" i="1"/>
  <c r="D4" i="1" s="1"/>
  <c r="C6" i="1"/>
  <c r="I14" i="7" l="1"/>
  <c r="A17" i="7"/>
  <c r="E233" i="1"/>
  <c r="A229" i="5" s="1"/>
  <c r="E88" i="1"/>
  <c r="A84" i="5" s="1"/>
  <c r="E132" i="1"/>
  <c r="A128" i="5" s="1"/>
  <c r="E89" i="1"/>
  <c r="A85" i="5" s="1"/>
  <c r="E39" i="1"/>
  <c r="B35" i="5" s="1"/>
  <c r="E10" i="1"/>
  <c r="D6" i="5" s="1"/>
  <c r="E278" i="1"/>
  <c r="A274" i="5" s="1"/>
  <c r="E61" i="1"/>
  <c r="A57" i="5" s="1"/>
  <c r="E102" i="1"/>
  <c r="A98" i="5" s="1"/>
  <c r="E114" i="1"/>
  <c r="B110" i="5" s="1"/>
  <c r="E251" i="1"/>
  <c r="A247" i="5" s="1"/>
  <c r="E107" i="1"/>
  <c r="B103" i="5" s="1"/>
  <c r="E171" i="1"/>
  <c r="A167" i="5" s="1"/>
  <c r="E98" i="1"/>
  <c r="A94" i="5" s="1"/>
  <c r="E205" i="1"/>
  <c r="B201" i="5" s="1"/>
  <c r="E276" i="1"/>
  <c r="A272" i="5" s="1"/>
  <c r="E244" i="1"/>
  <c r="D240" i="5" s="1"/>
  <c r="E172" i="1"/>
  <c r="A168" i="5" s="1"/>
  <c r="E264" i="1"/>
  <c r="B260" i="5" s="1"/>
  <c r="E268" i="1"/>
  <c r="B264" i="5" s="1"/>
  <c r="E92" i="1"/>
  <c r="A88" i="5" s="1"/>
  <c r="E153" i="1"/>
  <c r="A149" i="5" s="1"/>
  <c r="E247" i="1"/>
  <c r="E103" i="1"/>
  <c r="A99" i="5" s="1"/>
  <c r="E66" i="1"/>
  <c r="A62" i="5" s="1"/>
  <c r="E209" i="1"/>
  <c r="A205" i="5" s="1"/>
  <c r="E65" i="1"/>
  <c r="A61" i="5" s="1"/>
  <c r="E162" i="1"/>
  <c r="B158" i="5" s="1"/>
  <c r="E111" i="1"/>
  <c r="A107" i="5" s="1"/>
  <c r="E74" i="1"/>
  <c r="A70" i="5" s="1"/>
  <c r="E124" i="1"/>
  <c r="D120" i="5" s="1"/>
  <c r="E206" i="1"/>
  <c r="A202" i="5" s="1"/>
  <c r="E181" i="1"/>
  <c r="D177" i="5" s="1"/>
  <c r="E37" i="1"/>
  <c r="B33" i="5" s="1"/>
  <c r="E243" i="1"/>
  <c r="B239" i="5" s="1"/>
  <c r="E252" i="1"/>
  <c r="B248" i="5" s="1"/>
  <c r="E108" i="1"/>
  <c r="D104" i="5" s="1"/>
  <c r="E220" i="1"/>
  <c r="B216" i="5" s="1"/>
  <c r="E227" i="1"/>
  <c r="B223" i="5" s="1"/>
  <c r="E83" i="1"/>
  <c r="B79" i="5" s="1"/>
  <c r="E129" i="1"/>
  <c r="A125" i="5" s="1"/>
  <c r="E225" i="1"/>
  <c r="B221" i="5" s="1"/>
  <c r="E224" i="1"/>
  <c r="B220" i="5" s="1"/>
  <c r="E80" i="1"/>
  <c r="A76" i="5" s="1"/>
  <c r="E130" i="1"/>
  <c r="B126" i="5" s="1"/>
  <c r="E117" i="1"/>
  <c r="E235" i="1"/>
  <c r="B231" i="5" s="1"/>
  <c r="E91" i="1"/>
  <c r="B87" i="5" s="1"/>
  <c r="E54" i="1"/>
  <c r="D50" i="5" s="1"/>
  <c r="E197" i="1"/>
  <c r="E53" i="1"/>
  <c r="A49" i="5" s="1"/>
  <c r="E90" i="1"/>
  <c r="A86" i="5" s="1"/>
  <c r="E51" i="1"/>
  <c r="A47" i="5" s="1"/>
  <c r="E62" i="1"/>
  <c r="A58" i="5" s="1"/>
  <c r="E76" i="1"/>
  <c r="A72" i="5" s="1"/>
  <c r="E182" i="1"/>
  <c r="A178" i="5" s="1"/>
  <c r="E169" i="1"/>
  <c r="D165" i="5" s="1"/>
  <c r="E25" i="1"/>
  <c r="B21" i="5" s="1"/>
  <c r="E207" i="1"/>
  <c r="A203" i="5" s="1"/>
  <c r="E240" i="1"/>
  <c r="B236" i="5" s="1"/>
  <c r="E96" i="1"/>
  <c r="A92" i="5" s="1"/>
  <c r="E160" i="1"/>
  <c r="B156" i="5" s="1"/>
  <c r="E215" i="1"/>
  <c r="A211" i="5" s="1"/>
  <c r="E71" i="1"/>
  <c r="A67" i="5" s="1"/>
  <c r="E274" i="1"/>
  <c r="B270" i="5" s="1"/>
  <c r="E189" i="1"/>
  <c r="B185" i="5" s="1"/>
  <c r="E212" i="1"/>
  <c r="A208" i="5" s="1"/>
  <c r="E68" i="1"/>
  <c r="A64" i="5" s="1"/>
  <c r="E94" i="1"/>
  <c r="A90" i="5" s="1"/>
  <c r="E93" i="1"/>
  <c r="A89" i="5" s="1"/>
  <c r="E223" i="1"/>
  <c r="B219" i="5" s="1"/>
  <c r="E79" i="1"/>
  <c r="A75" i="5" s="1"/>
  <c r="E115" i="1"/>
  <c r="B111" i="5" s="1"/>
  <c r="E86" i="1"/>
  <c r="A82" i="5" s="1"/>
  <c r="E49" i="1"/>
  <c r="D45" i="5" s="1"/>
  <c r="E249" i="1"/>
  <c r="E42" i="1"/>
  <c r="A38" i="5" s="1"/>
  <c r="E50" i="1"/>
  <c r="A46" i="5" s="1"/>
  <c r="E157" i="1"/>
  <c r="A153" i="5" s="1"/>
  <c r="E84" i="1"/>
  <c r="B80" i="5" s="1"/>
  <c r="E165" i="1"/>
  <c r="E56" i="1"/>
  <c r="D52" i="5" s="1"/>
  <c r="E145" i="1"/>
  <c r="E55" i="1"/>
  <c r="A51" i="5" s="1"/>
  <c r="E190" i="1"/>
  <c r="A186" i="5" s="1"/>
  <c r="E221" i="1"/>
  <c r="A217" i="5" s="1"/>
  <c r="E193" i="1"/>
  <c r="A189" i="5" s="1"/>
  <c r="E95" i="1"/>
  <c r="A91" i="5" s="1"/>
  <c r="E41" i="1"/>
  <c r="A37" i="5" s="1"/>
  <c r="E146" i="1"/>
  <c r="A142" i="5" s="1"/>
  <c r="E112" i="1"/>
  <c r="D108" i="5" s="1"/>
  <c r="E211" i="1"/>
  <c r="B207" i="5" s="1"/>
  <c r="E30" i="1"/>
  <c r="B26" i="5" s="1"/>
  <c r="E254" i="1"/>
  <c r="A250" i="5" s="1"/>
  <c r="E258" i="1"/>
  <c r="B254" i="5" s="1"/>
  <c r="E52" i="1"/>
  <c r="A48" i="5" s="1"/>
  <c r="E178" i="1"/>
  <c r="D174" i="5" s="1"/>
  <c r="E188" i="1"/>
  <c r="A184" i="5" s="1"/>
  <c r="E57" i="1"/>
  <c r="A53" i="5" s="1"/>
  <c r="E148" i="1"/>
  <c r="A144" i="5" s="1"/>
  <c r="E277" i="1"/>
  <c r="A273" i="5" s="1"/>
  <c r="E75" i="1"/>
  <c r="A71" i="5" s="1"/>
  <c r="E179" i="1"/>
  <c r="A175" i="5" s="1"/>
  <c r="E22" i="1"/>
  <c r="A18" i="5" s="1"/>
  <c r="E194" i="1"/>
  <c r="A190" i="5" s="1"/>
  <c r="E265" i="1"/>
  <c r="B261" i="5" s="1"/>
  <c r="E121" i="1"/>
  <c r="A117" i="5" s="1"/>
  <c r="E126" i="1"/>
  <c r="E27" i="1"/>
  <c r="A23" i="5" s="1"/>
  <c r="E192" i="1"/>
  <c r="B188" i="5" s="1"/>
  <c r="E48" i="1"/>
  <c r="A44" i="5" s="1"/>
  <c r="E195" i="1"/>
  <c r="D191" i="5" s="1"/>
  <c r="E167" i="1"/>
  <c r="A163" i="5" s="1"/>
  <c r="E23" i="1"/>
  <c r="B19" i="5" s="1"/>
  <c r="E118" i="1"/>
  <c r="A114" i="5" s="1"/>
  <c r="E69" i="1"/>
  <c r="A65" i="5" s="1"/>
  <c r="E164" i="1"/>
  <c r="D160" i="5" s="1"/>
  <c r="E20" i="1"/>
  <c r="A16" i="5" s="1"/>
  <c r="E285" i="1"/>
  <c r="D281" i="5" s="1"/>
  <c r="E33" i="1"/>
  <c r="B29" i="5" s="1"/>
  <c r="E175" i="1"/>
  <c r="B171" i="5" s="1"/>
  <c r="E31" i="1"/>
  <c r="B27" i="5" s="1"/>
  <c r="E273" i="1"/>
  <c r="B269" i="5" s="1"/>
  <c r="E177" i="1"/>
  <c r="A173" i="5" s="1"/>
  <c r="E147" i="1"/>
  <c r="A143" i="5" s="1"/>
  <c r="E120" i="1"/>
  <c r="D116" i="5" s="1"/>
  <c r="E236" i="1"/>
  <c r="B232" i="5" s="1"/>
  <c r="E290" i="1"/>
  <c r="B286" i="5" s="1"/>
  <c r="E159" i="1"/>
  <c r="A155" i="5" s="1"/>
  <c r="E238" i="1"/>
  <c r="B234" i="5" s="1"/>
  <c r="E67" i="1"/>
  <c r="A63" i="5" s="1"/>
  <c r="E208" i="1"/>
  <c r="A204" i="5" s="1"/>
  <c r="E289" i="1"/>
  <c r="A285" i="5" s="1"/>
  <c r="E72" i="1"/>
  <c r="A68" i="5" s="1"/>
  <c r="E141" i="1"/>
  <c r="A137" i="5" s="1"/>
  <c r="E199" i="1"/>
  <c r="B195" i="5" s="1"/>
  <c r="E161" i="1"/>
  <c r="A157" i="5" s="1"/>
  <c r="E230" i="1"/>
  <c r="A226" i="5" s="1"/>
  <c r="E133" i="1"/>
  <c r="B129" i="5" s="1"/>
  <c r="E60" i="1"/>
  <c r="A56" i="5" s="1"/>
  <c r="E35" i="1"/>
  <c r="A31" i="5" s="1"/>
  <c r="E176" i="1"/>
  <c r="E43" i="1"/>
  <c r="D39" i="5" s="1"/>
  <c r="E149" i="1"/>
  <c r="D145" i="5" s="1"/>
  <c r="E64" i="1"/>
  <c r="D60" i="5" s="1"/>
  <c r="E270" i="1"/>
  <c r="A266" i="5" s="1"/>
  <c r="E253" i="1"/>
  <c r="A249" i="5" s="1"/>
  <c r="E109" i="1"/>
  <c r="A105" i="5" s="1"/>
  <c r="E280" i="1"/>
  <c r="B276" i="5" s="1"/>
  <c r="E266" i="1"/>
  <c r="A262" i="5" s="1"/>
  <c r="E180" i="1"/>
  <c r="D176" i="5" s="1"/>
  <c r="E36" i="1"/>
  <c r="A32" i="5" s="1"/>
  <c r="E123" i="1"/>
  <c r="A119" i="5" s="1"/>
  <c r="E155" i="1"/>
  <c r="E11" i="1"/>
  <c r="A7" i="5" s="1"/>
  <c r="E106" i="1"/>
  <c r="E9" i="1"/>
  <c r="A5" i="5" s="1"/>
  <c r="E152" i="1"/>
  <c r="A148" i="5" s="1"/>
  <c r="E8" i="1"/>
  <c r="A4" i="5" s="1"/>
  <c r="E261" i="1"/>
  <c r="E21" i="1"/>
  <c r="D17" i="5" s="1"/>
  <c r="E163" i="1"/>
  <c r="B159" i="5" s="1"/>
  <c r="E19" i="1"/>
  <c r="A15" i="5" s="1"/>
  <c r="E259" i="1"/>
  <c r="D255" i="5" s="1"/>
  <c r="E234" i="1"/>
  <c r="B230" i="5" s="1"/>
  <c r="E242" i="1"/>
  <c r="A238" i="5" s="1"/>
  <c r="E239" i="1"/>
  <c r="B235" i="5" s="1"/>
  <c r="E256" i="1"/>
  <c r="A252" i="5" s="1"/>
  <c r="E13" i="1"/>
  <c r="A9" i="5" s="1"/>
  <c r="E203" i="1"/>
  <c r="A199" i="5" s="1"/>
  <c r="E81" i="1"/>
  <c r="A77" i="5" s="1"/>
  <c r="E173" i="1"/>
  <c r="A169" i="5" s="1"/>
  <c r="E38" i="1"/>
  <c r="A34" i="5" s="1"/>
  <c r="E87" i="1"/>
  <c r="D83" i="5" s="1"/>
  <c r="E191" i="1"/>
  <c r="A187" i="5" s="1"/>
  <c r="E44" i="1"/>
  <c r="D40" i="5" s="1"/>
  <c r="E17" i="1"/>
  <c r="A13" i="5" s="1"/>
  <c r="E231" i="1"/>
  <c r="D227" i="5" s="1"/>
  <c r="E204" i="1"/>
  <c r="A200" i="5" s="1"/>
  <c r="E154" i="1"/>
  <c r="E187" i="1"/>
  <c r="B183" i="5" s="1"/>
  <c r="E246" i="1"/>
  <c r="B242" i="5" s="1"/>
  <c r="E14" i="1"/>
  <c r="A10" i="5" s="1"/>
  <c r="E281" i="1"/>
  <c r="B277" i="5" s="1"/>
  <c r="E196" i="1"/>
  <c r="A192" i="5" s="1"/>
  <c r="E16" i="1"/>
  <c r="B12" i="5" s="1"/>
  <c r="E198" i="1"/>
  <c r="A194" i="5" s="1"/>
  <c r="E241" i="1"/>
  <c r="A237" i="5" s="1"/>
  <c r="E97" i="1"/>
  <c r="A93" i="5" s="1"/>
  <c r="E232" i="1"/>
  <c r="A228" i="5" s="1"/>
  <c r="E218" i="1"/>
  <c r="D214" i="5" s="1"/>
  <c r="E168" i="1"/>
  <c r="A164" i="5" s="1"/>
  <c r="E24" i="1"/>
  <c r="A20" i="5" s="1"/>
  <c r="E287" i="1"/>
  <c r="B283" i="5" s="1"/>
  <c r="E143" i="1"/>
  <c r="E286" i="1"/>
  <c r="B282" i="5" s="1"/>
  <c r="E82" i="1"/>
  <c r="E284" i="1"/>
  <c r="B280" i="5" s="1"/>
  <c r="E140" i="1"/>
  <c r="A136" i="5" s="1"/>
  <c r="E250" i="1"/>
  <c r="E237" i="1"/>
  <c r="D233" i="5" s="1"/>
  <c r="E6" i="1"/>
  <c r="A2" i="5" s="1"/>
  <c r="E151" i="1"/>
  <c r="A147" i="5" s="1"/>
  <c r="E7" i="1"/>
  <c r="D3" i="5" s="1"/>
  <c r="E104" i="1"/>
  <c r="B100" i="5" s="1"/>
  <c r="E78" i="1"/>
  <c r="D74" i="5" s="1"/>
  <c r="E40" i="1"/>
  <c r="A36" i="5" s="1"/>
  <c r="E262" i="1"/>
  <c r="B258" i="5" s="1"/>
  <c r="E185" i="1"/>
  <c r="D181" i="5" s="1"/>
  <c r="E28" i="1"/>
  <c r="A24" i="5" s="1"/>
  <c r="E228" i="1"/>
  <c r="A224" i="5" s="1"/>
  <c r="E59" i="1"/>
  <c r="D55" i="5" s="1"/>
  <c r="E200" i="1"/>
  <c r="E70" i="1"/>
  <c r="A66" i="5" s="1"/>
  <c r="E29" i="1"/>
  <c r="A25" i="5" s="1"/>
  <c r="E279" i="1"/>
  <c r="A275" i="5" s="1"/>
  <c r="E216" i="1"/>
  <c r="D212" i="5" s="1"/>
  <c r="E47" i="1"/>
  <c r="A43" i="5" s="1"/>
  <c r="E46" i="1"/>
  <c r="B42" i="5" s="1"/>
  <c r="E18" i="1"/>
  <c r="A14" i="5" s="1"/>
  <c r="E26" i="1"/>
  <c r="E186" i="1"/>
  <c r="B182" i="5" s="1"/>
  <c r="E267" i="1"/>
  <c r="B263" i="5" s="1"/>
  <c r="E105" i="1"/>
  <c r="E32" i="1"/>
  <c r="A28" i="5" s="1"/>
  <c r="E45" i="1"/>
  <c r="A41" i="5" s="1"/>
  <c r="E293" i="1"/>
  <c r="A289" i="5" s="1"/>
  <c r="E100" i="1"/>
  <c r="B96" i="5" s="1"/>
  <c r="E183" i="1"/>
  <c r="B179" i="5" s="1"/>
  <c r="E137" i="1"/>
  <c r="B133" i="5" s="1"/>
  <c r="E170" i="1"/>
  <c r="D166" i="5" s="1"/>
  <c r="E135" i="1"/>
  <c r="A131" i="5" s="1"/>
  <c r="E282" i="1"/>
  <c r="A278" i="5" s="1"/>
  <c r="E269" i="1"/>
  <c r="A265" i="5" s="1"/>
  <c r="E125" i="1"/>
  <c r="B121" i="5" s="1"/>
  <c r="E291" i="1"/>
  <c r="B287" i="5" s="1"/>
  <c r="E134" i="1"/>
  <c r="A130" i="5" s="1"/>
  <c r="E99" i="1"/>
  <c r="E210" i="1"/>
  <c r="A206" i="5" s="1"/>
  <c r="E257" i="1"/>
  <c r="A253" i="5" s="1"/>
  <c r="E113" i="1"/>
  <c r="A109" i="5" s="1"/>
  <c r="E294" i="1"/>
  <c r="A290" i="5" s="1"/>
  <c r="E255" i="1"/>
  <c r="B251" i="5" s="1"/>
  <c r="E122" i="1"/>
  <c r="A118" i="5" s="1"/>
  <c r="E138" i="1"/>
  <c r="A134" i="5" s="1"/>
  <c r="E63" i="1"/>
  <c r="A59" i="5" s="1"/>
  <c r="E229" i="1"/>
  <c r="D225" i="5" s="1"/>
  <c r="E85" i="1"/>
  <c r="E184" i="1"/>
  <c r="B180" i="5" s="1"/>
  <c r="E158" i="1"/>
  <c r="E156" i="1"/>
  <c r="A152" i="5" s="1"/>
  <c r="E12" i="1"/>
  <c r="A8" i="5" s="1"/>
  <c r="E275" i="1"/>
  <c r="E131" i="1"/>
  <c r="B127" i="5" s="1"/>
  <c r="E214" i="1"/>
  <c r="D210" i="5" s="1"/>
  <c r="E58" i="1"/>
  <c r="A54" i="5" s="1"/>
  <c r="E272" i="1"/>
  <c r="B268" i="5" s="1"/>
  <c r="E128" i="1"/>
  <c r="A124" i="5" s="1"/>
  <c r="E226" i="1"/>
  <c r="B222" i="5" s="1"/>
  <c r="E213" i="1"/>
  <c r="A209" i="5" s="1"/>
  <c r="E283" i="1"/>
  <c r="B279" i="5" s="1"/>
  <c r="E139" i="1"/>
  <c r="B135" i="5" s="1"/>
  <c r="E248" i="1"/>
  <c r="A244" i="5" s="1"/>
  <c r="E77" i="1"/>
  <c r="B73" i="5" s="1"/>
  <c r="E166" i="1"/>
  <c r="E150" i="1"/>
  <c r="A146" i="5" s="1"/>
  <c r="E245" i="1"/>
  <c r="D241" i="5" s="1"/>
  <c r="E101" i="1"/>
  <c r="A97" i="5" s="1"/>
  <c r="E174" i="1"/>
  <c r="A170" i="5" s="1"/>
  <c r="E219" i="1"/>
  <c r="B215" i="5" s="1"/>
  <c r="E110" i="1"/>
  <c r="A106" i="5" s="1"/>
  <c r="E292" i="1"/>
  <c r="E15" i="1"/>
  <c r="A11" i="5" s="1"/>
  <c r="E217" i="1"/>
  <c r="D213" i="5" s="1"/>
  <c r="E73" i="1"/>
  <c r="A69" i="5" s="1"/>
  <c r="E136" i="1"/>
  <c r="A132" i="5" s="1"/>
  <c r="E288" i="1"/>
  <c r="A284" i="5" s="1"/>
  <c r="E144" i="1"/>
  <c r="A140" i="5" s="1"/>
  <c r="E222" i="1"/>
  <c r="A218" i="5" s="1"/>
  <c r="E263" i="1"/>
  <c r="B259" i="5" s="1"/>
  <c r="E119" i="1"/>
  <c r="A115" i="5" s="1"/>
  <c r="E142" i="1"/>
  <c r="D138" i="5" s="1"/>
  <c r="E34" i="1"/>
  <c r="D30" i="5" s="1"/>
  <c r="E260" i="1"/>
  <c r="B256" i="5" s="1"/>
  <c r="E116" i="1"/>
  <c r="A112" i="5" s="1"/>
  <c r="E202" i="1"/>
  <c r="A198" i="5" s="1"/>
  <c r="E201" i="1"/>
  <c r="A197" i="5" s="1"/>
  <c r="E271" i="1"/>
  <c r="A267" i="5" s="1"/>
  <c r="C7" i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C203" i="1" s="1"/>
  <c r="C204" i="1" s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A123" i="5"/>
  <c r="B123" i="5"/>
  <c r="D123" i="5"/>
  <c r="A35" i="5"/>
  <c r="D35" i="5"/>
  <c r="B116" i="5" l="1"/>
  <c r="A6" i="5"/>
  <c r="D84" i="5"/>
  <c r="B274" i="5"/>
  <c r="D153" i="5"/>
  <c r="B136" i="5"/>
  <c r="D260" i="5"/>
  <c r="A129" i="5"/>
  <c r="A222" i="5"/>
  <c r="B153" i="5"/>
  <c r="D274" i="5"/>
  <c r="A260" i="5"/>
  <c r="A30" i="5"/>
  <c r="D129" i="5"/>
  <c r="D222" i="5"/>
  <c r="D136" i="5"/>
  <c r="B138" i="5"/>
  <c r="A182" i="5"/>
  <c r="D185" i="5"/>
  <c r="A221" i="5"/>
  <c r="D221" i="5"/>
  <c r="A232" i="5"/>
  <c r="D12" i="5"/>
  <c r="B72" i="5"/>
  <c r="A116" i="5"/>
  <c r="B265" i="5"/>
  <c r="D265" i="5"/>
  <c r="B83" i="5"/>
  <c r="B229" i="5"/>
  <c r="D72" i="5"/>
  <c r="A83" i="5"/>
  <c r="D229" i="5"/>
  <c r="B6" i="5"/>
  <c r="D194" i="5"/>
  <c r="B194" i="5"/>
  <c r="A185" i="5"/>
  <c r="B187" i="5"/>
  <c r="D262" i="5"/>
  <c r="D85" i="5"/>
  <c r="B225" i="5"/>
  <c r="D187" i="5"/>
  <c r="A225" i="5"/>
  <c r="B108" i="5"/>
  <c r="A108" i="5"/>
  <c r="A121" i="5"/>
  <c r="D15" i="5"/>
  <c r="B15" i="5"/>
  <c r="B176" i="5"/>
  <c r="A176" i="5"/>
  <c r="D208" i="5"/>
  <c r="D128" i="5"/>
  <c r="B272" i="5"/>
  <c r="B124" i="5"/>
  <c r="D19" i="5"/>
  <c r="A201" i="5"/>
  <c r="A280" i="5"/>
  <c r="A19" i="5"/>
  <c r="B46" i="5"/>
  <c r="D280" i="5"/>
  <c r="A263" i="5"/>
  <c r="D232" i="5"/>
  <c r="A240" i="5"/>
  <c r="D182" i="5"/>
  <c r="B240" i="5"/>
  <c r="B58" i="5"/>
  <c r="D272" i="5"/>
  <c r="D114" i="5"/>
  <c r="D201" i="5"/>
  <c r="B208" i="5"/>
  <c r="D121" i="5"/>
  <c r="D59" i="5"/>
  <c r="B167" i="5"/>
  <c r="D58" i="5"/>
  <c r="D124" i="5"/>
  <c r="B94" i="5"/>
  <c r="D89" i="5"/>
  <c r="D94" i="5"/>
  <c r="D167" i="5"/>
  <c r="B59" i="5"/>
  <c r="D263" i="5"/>
  <c r="D46" i="5"/>
  <c r="A220" i="5"/>
  <c r="D168" i="5"/>
  <c r="A138" i="5"/>
  <c r="D159" i="5"/>
  <c r="D71" i="5"/>
  <c r="D220" i="5"/>
  <c r="B168" i="5"/>
  <c r="A159" i="5"/>
  <c r="B71" i="5"/>
  <c r="D215" i="5"/>
  <c r="A215" i="5"/>
  <c r="B262" i="5"/>
  <c r="D224" i="5"/>
  <c r="B120" i="5"/>
  <c r="B224" i="5"/>
  <c r="A120" i="5"/>
  <c r="D226" i="5"/>
  <c r="D70" i="5"/>
  <c r="B128" i="5"/>
  <c r="B114" i="5"/>
  <c r="B226" i="5"/>
  <c r="B70" i="5"/>
  <c r="A12" i="5"/>
  <c r="D142" i="5"/>
  <c r="B142" i="5"/>
  <c r="B85" i="5"/>
  <c r="D175" i="5"/>
  <c r="D24" i="5"/>
  <c r="B84" i="5"/>
  <c r="B175" i="5"/>
  <c r="B24" i="5"/>
  <c r="A18" i="7"/>
  <c r="I15" i="7"/>
  <c r="C167" i="5"/>
  <c r="C150" i="5"/>
  <c r="C243" i="5"/>
  <c r="C154" i="5"/>
  <c r="C95" i="5"/>
  <c r="C151" i="5"/>
  <c r="C172" i="5"/>
  <c r="C113" i="5"/>
  <c r="C226" i="5"/>
  <c r="C224" i="5"/>
  <c r="C225" i="5"/>
  <c r="C120" i="5"/>
  <c r="C116" i="5"/>
  <c r="C196" i="5"/>
  <c r="C161" i="5"/>
  <c r="C129" i="5"/>
  <c r="C232" i="5"/>
  <c r="C208" i="5"/>
  <c r="C122" i="5"/>
  <c r="C263" i="5"/>
  <c r="C264" i="5"/>
  <c r="C272" i="5"/>
  <c r="C138" i="5"/>
  <c r="C141" i="5"/>
  <c r="C176" i="5"/>
  <c r="C185" i="5"/>
  <c r="C106" i="5"/>
  <c r="C280" i="5"/>
  <c r="C84" i="5"/>
  <c r="C240" i="5"/>
  <c r="C101" i="5"/>
  <c r="C246" i="5"/>
  <c r="C271" i="5"/>
  <c r="C221" i="5"/>
  <c r="C274" i="5"/>
  <c r="C83" i="5"/>
  <c r="C288" i="5"/>
  <c r="C81" i="5"/>
  <c r="C194" i="5"/>
  <c r="C265" i="5"/>
  <c r="C182" i="5"/>
  <c r="C229" i="5"/>
  <c r="C153" i="5"/>
  <c r="C220" i="5"/>
  <c r="C94" i="5"/>
  <c r="C78" i="5"/>
  <c r="C162" i="5"/>
  <c r="C121" i="5"/>
  <c r="C85" i="5"/>
  <c r="C175" i="5"/>
  <c r="C260" i="5"/>
  <c r="C128" i="5"/>
  <c r="C123" i="5"/>
  <c r="C124" i="5"/>
  <c r="C257" i="5"/>
  <c r="C245" i="5"/>
  <c r="C136" i="5"/>
  <c r="C159" i="5"/>
  <c r="C202" i="5"/>
  <c r="C262" i="5"/>
  <c r="C201" i="5"/>
  <c r="C139" i="5"/>
  <c r="C168" i="5"/>
  <c r="C102" i="5"/>
  <c r="C114" i="5"/>
  <c r="C187" i="5"/>
  <c r="C108" i="5"/>
  <c r="C142" i="5"/>
  <c r="C193" i="5"/>
  <c r="C92" i="5"/>
  <c r="B113" i="5"/>
  <c r="D21" i="5"/>
  <c r="B64" i="5"/>
  <c r="D149" i="5"/>
  <c r="D110" i="5"/>
  <c r="C149" i="5"/>
  <c r="A33" i="5"/>
  <c r="C89" i="5"/>
  <c r="B172" i="5"/>
  <c r="D32" i="5"/>
  <c r="B18" i="5"/>
  <c r="A227" i="5"/>
  <c r="B227" i="5"/>
  <c r="D18" i="5"/>
  <c r="D56" i="5"/>
  <c r="D57" i="5"/>
  <c r="B177" i="5"/>
  <c r="A60" i="5"/>
  <c r="D237" i="5"/>
  <c r="B151" i="5"/>
  <c r="A81" i="5"/>
  <c r="A172" i="5"/>
  <c r="B95" i="5"/>
  <c r="A151" i="5"/>
  <c r="B65" i="5"/>
  <c r="B243" i="5"/>
  <c r="D247" i="5"/>
  <c r="B247" i="5"/>
  <c r="D113" i="5"/>
  <c r="D151" i="5"/>
  <c r="D172" i="5"/>
  <c r="C227" i="5"/>
  <c r="A95" i="5"/>
  <c r="B60" i="5"/>
  <c r="D33" i="5"/>
  <c r="B149" i="5"/>
  <c r="C247" i="5"/>
  <c r="D147" i="5"/>
  <c r="B281" i="5"/>
  <c r="D66" i="5"/>
  <c r="A113" i="5"/>
  <c r="D154" i="5"/>
  <c r="C110" i="5"/>
  <c r="B89" i="5"/>
  <c r="A281" i="5"/>
  <c r="B66" i="5"/>
  <c r="B2" i="5"/>
  <c r="D2" i="5"/>
  <c r="B20" i="5"/>
  <c r="D16" i="5"/>
  <c r="D261" i="5"/>
  <c r="B52" i="5"/>
  <c r="D238" i="5"/>
  <c r="A154" i="5"/>
  <c r="A110" i="5"/>
  <c r="A212" i="5"/>
  <c r="D20" i="5"/>
  <c r="B154" i="5"/>
  <c r="C2" i="5"/>
  <c r="D228" i="5"/>
  <c r="B16" i="5"/>
  <c r="C261" i="5"/>
  <c r="A52" i="5"/>
  <c r="C238" i="5"/>
  <c r="C255" i="5"/>
  <c r="C228" i="5"/>
  <c r="A261" i="5"/>
  <c r="D250" i="5"/>
  <c r="D234" i="5"/>
  <c r="D9" i="5"/>
  <c r="B238" i="5"/>
  <c r="A100" i="5"/>
  <c r="A21" i="5"/>
  <c r="C250" i="5"/>
  <c r="B228" i="5"/>
  <c r="B250" i="5"/>
  <c r="A234" i="5"/>
  <c r="D41" i="5"/>
  <c r="C234" i="5"/>
  <c r="B255" i="5"/>
  <c r="D135" i="5"/>
  <c r="A243" i="5"/>
  <c r="D95" i="5"/>
  <c r="B41" i="5"/>
  <c r="D141" i="5"/>
  <c r="C135" i="5"/>
  <c r="A141" i="5"/>
  <c r="D243" i="5"/>
  <c r="A135" i="5"/>
  <c r="C147" i="5"/>
  <c r="C281" i="5"/>
  <c r="D25" i="5"/>
  <c r="B212" i="5"/>
  <c r="A80" i="5"/>
  <c r="D76" i="5"/>
  <c r="B244" i="5"/>
  <c r="B25" i="5"/>
  <c r="A246" i="5"/>
  <c r="C214" i="5"/>
  <c r="B102" i="5"/>
  <c r="D200" i="5"/>
  <c r="B246" i="5"/>
  <c r="B214" i="5"/>
  <c r="B7" i="5"/>
  <c r="D65" i="5"/>
  <c r="B101" i="5"/>
  <c r="C200" i="5"/>
  <c r="D64" i="5"/>
  <c r="C222" i="5"/>
  <c r="A214" i="5"/>
  <c r="B39" i="5"/>
  <c r="A101" i="5"/>
  <c r="A87" i="5"/>
  <c r="A39" i="5"/>
  <c r="B40" i="5"/>
  <c r="A254" i="5"/>
  <c r="D207" i="5"/>
  <c r="B55" i="5"/>
  <c r="C178" i="5"/>
  <c r="A231" i="5"/>
  <c r="C70" i="5"/>
  <c r="A287" i="5"/>
  <c r="A40" i="5"/>
  <c r="B141" i="5"/>
  <c r="A207" i="5"/>
  <c r="A55" i="5"/>
  <c r="B178" i="5"/>
  <c r="C231" i="5"/>
  <c r="D287" i="5"/>
  <c r="B81" i="5"/>
  <c r="A286" i="5"/>
  <c r="B271" i="5"/>
  <c r="D252" i="5"/>
  <c r="C99" i="5"/>
  <c r="B147" i="5"/>
  <c r="D7" i="5"/>
  <c r="B190" i="5"/>
  <c r="A150" i="5"/>
  <c r="B200" i="5"/>
  <c r="B252" i="5"/>
  <c r="A236" i="5"/>
  <c r="D231" i="5"/>
  <c r="A235" i="5"/>
  <c r="D235" i="5"/>
  <c r="B122" i="5"/>
  <c r="D63" i="5"/>
  <c r="D103" i="5"/>
  <c r="B150" i="5"/>
  <c r="C145" i="5"/>
  <c r="D275" i="5"/>
  <c r="D161" i="5"/>
  <c r="D203" i="5"/>
  <c r="C235" i="5"/>
  <c r="A122" i="5"/>
  <c r="A145" i="5"/>
  <c r="B253" i="5"/>
  <c r="C275" i="5"/>
  <c r="C63" i="5"/>
  <c r="C203" i="5"/>
  <c r="D206" i="5"/>
  <c r="A103" i="5"/>
  <c r="D93" i="5"/>
  <c r="D117" i="5"/>
  <c r="B289" i="5"/>
  <c r="B28" i="5"/>
  <c r="D253" i="5"/>
  <c r="B63" i="5"/>
  <c r="C75" i="5"/>
  <c r="B203" i="5"/>
  <c r="C206" i="5"/>
  <c r="A96" i="5"/>
  <c r="C117" i="5"/>
  <c r="D289" i="5"/>
  <c r="B51" i="5"/>
  <c r="A219" i="5"/>
  <c r="A230" i="5"/>
  <c r="A248" i="5"/>
  <c r="B206" i="5"/>
  <c r="D236" i="5"/>
  <c r="B98" i="5"/>
  <c r="B117" i="5"/>
  <c r="D254" i="5"/>
  <c r="B155" i="5"/>
  <c r="D219" i="5"/>
  <c r="A239" i="5"/>
  <c r="A102" i="5"/>
  <c r="D164" i="5"/>
  <c r="C289" i="5"/>
  <c r="C164" i="5"/>
  <c r="C254" i="5"/>
  <c r="C219" i="5"/>
  <c r="A126" i="5"/>
  <c r="D239" i="5"/>
  <c r="B3" i="5"/>
  <c r="B204" i="5"/>
  <c r="C239" i="5"/>
  <c r="A3" i="5"/>
  <c r="A29" i="5"/>
  <c r="A73" i="5"/>
  <c r="D87" i="5"/>
  <c r="C244" i="5"/>
  <c r="C160" i="5"/>
  <c r="B196" i="5"/>
  <c r="D230" i="5"/>
  <c r="D246" i="5"/>
  <c r="D29" i="5"/>
  <c r="D122" i="5"/>
  <c r="B275" i="5"/>
  <c r="C207" i="5"/>
  <c r="D155" i="5"/>
  <c r="C252" i="5"/>
  <c r="C236" i="5"/>
  <c r="A165" i="5"/>
  <c r="C230" i="5"/>
  <c r="C87" i="5"/>
  <c r="C126" i="5"/>
  <c r="A255" i="5"/>
  <c r="C103" i="5"/>
  <c r="B57" i="5"/>
  <c r="B288" i="5"/>
  <c r="C233" i="5"/>
  <c r="A26" i="5"/>
  <c r="C165" i="5"/>
  <c r="D126" i="5"/>
  <c r="A180" i="5"/>
  <c r="A288" i="5"/>
  <c r="C287" i="5"/>
  <c r="B32" i="5"/>
  <c r="D98" i="5"/>
  <c r="B160" i="5"/>
  <c r="D190" i="5"/>
  <c r="D150" i="5"/>
  <c r="D73" i="5"/>
  <c r="A196" i="5"/>
  <c r="C98" i="5"/>
  <c r="A160" i="5"/>
  <c r="C190" i="5"/>
  <c r="D28" i="5"/>
  <c r="B161" i="5"/>
  <c r="C155" i="5"/>
  <c r="D178" i="5"/>
  <c r="B106" i="5"/>
  <c r="B164" i="5"/>
  <c r="D31" i="5"/>
  <c r="D48" i="5"/>
  <c r="D80" i="5"/>
  <c r="D279" i="5"/>
  <c r="C76" i="5"/>
  <c r="C177" i="5"/>
  <c r="D267" i="5"/>
  <c r="D132" i="5"/>
  <c r="C93" i="5"/>
  <c r="B93" i="5"/>
  <c r="B209" i="5"/>
  <c r="D96" i="5"/>
  <c r="B56" i="5"/>
  <c r="C253" i="5"/>
  <c r="A161" i="5"/>
  <c r="D248" i="5"/>
  <c r="D209" i="5"/>
  <c r="C96" i="5"/>
  <c r="B31" i="5"/>
  <c r="D13" i="5"/>
  <c r="B48" i="5"/>
  <c r="D204" i="5"/>
  <c r="C80" i="5"/>
  <c r="C279" i="5"/>
  <c r="B76" i="5"/>
  <c r="C248" i="5"/>
  <c r="A177" i="5"/>
  <c r="D244" i="5"/>
  <c r="D8" i="5"/>
  <c r="C267" i="5"/>
  <c r="C132" i="5"/>
  <c r="A279" i="5"/>
  <c r="B237" i="5"/>
  <c r="D130" i="5"/>
  <c r="C209" i="5"/>
  <c r="B13" i="5"/>
  <c r="D51" i="5"/>
  <c r="C204" i="5"/>
  <c r="D75" i="5"/>
  <c r="C90" i="5"/>
  <c r="D202" i="5"/>
  <c r="D99" i="5"/>
  <c r="D88" i="5"/>
  <c r="D264" i="5"/>
  <c r="B8" i="5"/>
  <c r="B267" i="5"/>
  <c r="D11" i="5"/>
  <c r="C130" i="5"/>
  <c r="D119" i="5"/>
  <c r="D286" i="5"/>
  <c r="B90" i="5"/>
  <c r="D112" i="5"/>
  <c r="B11" i="5"/>
  <c r="B233" i="5"/>
  <c r="C237" i="5"/>
  <c r="B130" i="5"/>
  <c r="D102" i="5"/>
  <c r="C119" i="5"/>
  <c r="D81" i="5"/>
  <c r="B145" i="5"/>
  <c r="D101" i="5"/>
  <c r="C286" i="5"/>
  <c r="B75" i="5"/>
  <c r="D90" i="5"/>
  <c r="B202" i="5"/>
  <c r="B99" i="5"/>
  <c r="B88" i="5"/>
  <c r="A264" i="5"/>
  <c r="D180" i="5"/>
  <c r="C112" i="5"/>
  <c r="C88" i="5"/>
  <c r="A233" i="5"/>
  <c r="B119" i="5"/>
  <c r="D26" i="5"/>
  <c r="D196" i="5"/>
  <c r="B165" i="5"/>
  <c r="C180" i="5"/>
  <c r="B112" i="5"/>
  <c r="D288" i="5"/>
  <c r="C100" i="5"/>
  <c r="D271" i="5"/>
  <c r="D109" i="5"/>
  <c r="B285" i="5"/>
  <c r="B9" i="5"/>
  <c r="A174" i="5"/>
  <c r="D152" i="5"/>
  <c r="B132" i="5"/>
  <c r="C152" i="5"/>
  <c r="B104" i="5"/>
  <c r="C111" i="5"/>
  <c r="C215" i="5"/>
  <c r="D285" i="5"/>
  <c r="D5" i="5"/>
  <c r="B152" i="5"/>
  <c r="A104" i="5"/>
  <c r="A111" i="5"/>
  <c r="D69" i="5"/>
  <c r="B5" i="5"/>
  <c r="B50" i="5"/>
  <c r="A256" i="5"/>
  <c r="B174" i="5"/>
  <c r="A50" i="5"/>
  <c r="D256" i="5"/>
  <c r="C166" i="5"/>
  <c r="B69" i="5"/>
  <c r="C256" i="5"/>
  <c r="C213" i="5"/>
  <c r="D61" i="5"/>
  <c r="D42" i="5"/>
  <c r="B61" i="5"/>
  <c r="B166" i="5"/>
  <c r="A166" i="5"/>
  <c r="A42" i="5"/>
  <c r="C60" i="5"/>
  <c r="C31" i="5"/>
  <c r="A269" i="5"/>
  <c r="B213" i="5"/>
  <c r="D269" i="5"/>
  <c r="C41" i="5"/>
  <c r="A162" i="5"/>
  <c r="C269" i="5"/>
  <c r="A213" i="5"/>
  <c r="C5" i="5"/>
  <c r="C19" i="5"/>
  <c r="B210" i="5"/>
  <c r="C24" i="5"/>
  <c r="B45" i="5"/>
  <c r="D198" i="5"/>
  <c r="A210" i="5"/>
  <c r="C9" i="5"/>
  <c r="C198" i="5"/>
  <c r="C20" i="5"/>
  <c r="C29" i="5"/>
  <c r="C51" i="5"/>
  <c r="C52" i="5"/>
  <c r="B198" i="5"/>
  <c r="A171" i="5"/>
  <c r="A179" i="5"/>
  <c r="A183" i="5"/>
  <c r="C174" i="5"/>
  <c r="C212" i="5"/>
  <c r="C50" i="5"/>
  <c r="B92" i="5"/>
  <c r="C104" i="5"/>
  <c r="C33" i="5"/>
  <c r="B162" i="5"/>
  <c r="D111" i="5"/>
  <c r="D100" i="5"/>
  <c r="C8" i="5"/>
  <c r="A271" i="5"/>
  <c r="C22" i="5"/>
  <c r="C56" i="5"/>
  <c r="C61" i="5"/>
  <c r="C58" i="5"/>
  <c r="C45" i="5"/>
  <c r="C42" i="5"/>
  <c r="C109" i="5"/>
  <c r="D23" i="5"/>
  <c r="C18" i="5"/>
  <c r="C59" i="5"/>
  <c r="C285" i="5"/>
  <c r="B109" i="5"/>
  <c r="C65" i="5"/>
  <c r="C23" i="5"/>
  <c r="C39" i="5"/>
  <c r="C13" i="5"/>
  <c r="C46" i="5"/>
  <c r="C62" i="5"/>
  <c r="A193" i="5"/>
  <c r="D284" i="5"/>
  <c r="C12" i="5"/>
  <c r="B23" i="5"/>
  <c r="C26" i="5"/>
  <c r="C55" i="5"/>
  <c r="B62" i="5"/>
  <c r="C241" i="5"/>
  <c r="C284" i="5"/>
  <c r="C11" i="5"/>
  <c r="C15" i="5"/>
  <c r="D27" i="5"/>
  <c r="C40" i="5"/>
  <c r="C48" i="5"/>
  <c r="D62" i="5"/>
  <c r="A241" i="5"/>
  <c r="D186" i="5"/>
  <c r="B284" i="5"/>
  <c r="C73" i="5"/>
  <c r="C57" i="5"/>
  <c r="D171" i="5"/>
  <c r="D179" i="5"/>
  <c r="D183" i="5"/>
  <c r="D127" i="5"/>
  <c r="C186" i="5"/>
  <c r="C3" i="5"/>
  <c r="C7" i="5"/>
  <c r="C32" i="5"/>
  <c r="C171" i="5"/>
  <c r="C16" i="5"/>
  <c r="C179" i="5"/>
  <c r="C183" i="5"/>
  <c r="C28" i="5"/>
  <c r="C71" i="5"/>
  <c r="C25" i="5"/>
  <c r="D92" i="5"/>
  <c r="D162" i="5"/>
  <c r="B186" i="5"/>
  <c r="C210" i="5"/>
  <c r="C66" i="5"/>
  <c r="C35" i="5"/>
  <c r="C64" i="5"/>
  <c r="C21" i="5"/>
  <c r="C72" i="5"/>
  <c r="C6" i="5"/>
  <c r="A251" i="5"/>
  <c r="D77" i="5"/>
  <c r="B189" i="5"/>
  <c r="C218" i="5"/>
  <c r="D218" i="5"/>
  <c r="D251" i="5"/>
  <c r="C77" i="5"/>
  <c r="D189" i="5"/>
  <c r="B218" i="5"/>
  <c r="D139" i="5"/>
  <c r="D79" i="5"/>
  <c r="B139" i="5"/>
  <c r="C195" i="5"/>
  <c r="C251" i="5"/>
  <c r="B77" i="5"/>
  <c r="C79" i="5"/>
  <c r="C189" i="5"/>
  <c r="A45" i="5"/>
  <c r="A139" i="5"/>
  <c r="A195" i="5"/>
  <c r="A79" i="5"/>
  <c r="D4" i="5"/>
  <c r="B249" i="5"/>
  <c r="D53" i="5"/>
  <c r="D137" i="5"/>
  <c r="D211" i="5"/>
  <c r="D49" i="5"/>
  <c r="A223" i="5"/>
  <c r="D158" i="5"/>
  <c r="D36" i="5"/>
  <c r="B197" i="5"/>
  <c r="C30" i="5"/>
  <c r="C4" i="5"/>
  <c r="D249" i="5"/>
  <c r="D44" i="5"/>
  <c r="D10" i="5"/>
  <c r="C53" i="5"/>
  <c r="C137" i="5"/>
  <c r="C211" i="5"/>
  <c r="C49" i="5"/>
  <c r="D223" i="5"/>
  <c r="C158" i="5"/>
  <c r="C36" i="5"/>
  <c r="B30" i="5"/>
  <c r="B4" i="5"/>
  <c r="C249" i="5"/>
  <c r="C44" i="5"/>
  <c r="C10" i="5"/>
  <c r="B53" i="5"/>
  <c r="B137" i="5"/>
  <c r="B211" i="5"/>
  <c r="B49" i="5"/>
  <c r="C223" i="5"/>
  <c r="A158" i="5"/>
  <c r="B36" i="5"/>
  <c r="B44" i="5"/>
  <c r="B10" i="5"/>
  <c r="B241" i="5"/>
  <c r="D195" i="5"/>
  <c r="D22" i="5"/>
  <c r="D270" i="5"/>
  <c r="D163" i="5"/>
  <c r="C197" i="5"/>
  <c r="D106" i="5"/>
  <c r="C127" i="5"/>
  <c r="A27" i="5"/>
  <c r="D47" i="5"/>
  <c r="A127" i="5"/>
  <c r="D242" i="5"/>
  <c r="C74" i="5"/>
  <c r="D156" i="5"/>
  <c r="D258" i="5"/>
  <c r="D188" i="5"/>
  <c r="C242" i="5"/>
  <c r="B74" i="5"/>
  <c r="C156" i="5"/>
  <c r="C258" i="5"/>
  <c r="D133" i="5"/>
  <c r="C188" i="5"/>
  <c r="A242" i="5"/>
  <c r="A74" i="5"/>
  <c r="B181" i="5"/>
  <c r="A156" i="5"/>
  <c r="D143" i="5"/>
  <c r="C27" i="5"/>
  <c r="C133" i="5"/>
  <c r="A188" i="5"/>
  <c r="A133" i="5"/>
  <c r="B193" i="5"/>
  <c r="D278" i="5"/>
  <c r="D193" i="5"/>
  <c r="C69" i="5"/>
  <c r="C278" i="5"/>
  <c r="C163" i="5"/>
  <c r="B278" i="5"/>
  <c r="B163" i="5"/>
  <c r="B22" i="5"/>
  <c r="C181" i="5"/>
  <c r="A270" i="5"/>
  <c r="B47" i="5"/>
  <c r="A258" i="5"/>
  <c r="B143" i="5"/>
  <c r="C47" i="5"/>
  <c r="A181" i="5"/>
  <c r="B273" i="5"/>
  <c r="B157" i="5"/>
  <c r="B169" i="5"/>
  <c r="D184" i="5"/>
  <c r="D43" i="5"/>
  <c r="D68" i="5"/>
  <c r="C38" i="5"/>
  <c r="D146" i="5"/>
  <c r="D290" i="5"/>
  <c r="C86" i="5"/>
  <c r="B205" i="5"/>
  <c r="C118" i="5"/>
  <c r="D91" i="5"/>
  <c r="B217" i="5"/>
  <c r="B173" i="5"/>
  <c r="D115" i="5"/>
  <c r="D140" i="5"/>
  <c r="D170" i="5"/>
  <c r="D131" i="5"/>
  <c r="D97" i="5"/>
  <c r="D67" i="5"/>
  <c r="B78" i="5"/>
  <c r="D283" i="5"/>
  <c r="C134" i="5"/>
  <c r="C17" i="5"/>
  <c r="C148" i="5"/>
  <c r="C276" i="5"/>
  <c r="C131" i="5"/>
  <c r="D277" i="5"/>
  <c r="C191" i="5"/>
  <c r="D273" i="5"/>
  <c r="D157" i="5"/>
  <c r="D169" i="5"/>
  <c r="C97" i="5"/>
  <c r="C184" i="5"/>
  <c r="C43" i="5"/>
  <c r="C68" i="5"/>
  <c r="B38" i="5"/>
  <c r="C146" i="5"/>
  <c r="C290" i="5"/>
  <c r="C67" i="5"/>
  <c r="D86" i="5"/>
  <c r="D205" i="5"/>
  <c r="B118" i="5"/>
  <c r="C91" i="5"/>
  <c r="D217" i="5"/>
  <c r="D173" i="5"/>
  <c r="D197" i="5"/>
  <c r="C115" i="5"/>
  <c r="C140" i="5"/>
  <c r="C170" i="5"/>
  <c r="C270" i="5"/>
  <c r="D148" i="5"/>
  <c r="D78" i="5"/>
  <c r="C283" i="5"/>
  <c r="B134" i="5"/>
  <c r="B17" i="5"/>
  <c r="B148" i="5"/>
  <c r="A276" i="5"/>
  <c r="B131" i="5"/>
  <c r="C277" i="5"/>
  <c r="B191" i="5"/>
  <c r="C273" i="5"/>
  <c r="C157" i="5"/>
  <c r="C169" i="5"/>
  <c r="B97" i="5"/>
  <c r="B184" i="5"/>
  <c r="B43" i="5"/>
  <c r="B68" i="5"/>
  <c r="D38" i="5"/>
  <c r="B146" i="5"/>
  <c r="B290" i="5"/>
  <c r="B67" i="5"/>
  <c r="B86" i="5"/>
  <c r="C205" i="5"/>
  <c r="D118" i="5"/>
  <c r="B91" i="5"/>
  <c r="C217" i="5"/>
  <c r="C173" i="5"/>
  <c r="B115" i="5"/>
  <c r="B140" i="5"/>
  <c r="B170" i="5"/>
  <c r="C143" i="5"/>
  <c r="A22" i="5"/>
  <c r="A283" i="5"/>
  <c r="D134" i="5"/>
  <c r="D276" i="5"/>
  <c r="A78" i="5"/>
  <c r="A17" i="5"/>
  <c r="A277" i="5"/>
  <c r="A191" i="5"/>
  <c r="D282" i="5"/>
  <c r="B257" i="5"/>
  <c r="D105" i="5"/>
  <c r="D266" i="5"/>
  <c r="D192" i="5"/>
  <c r="D144" i="5"/>
  <c r="C14" i="5"/>
  <c r="A268" i="5"/>
  <c r="D34" i="5"/>
  <c r="D199" i="5"/>
  <c r="D37" i="5"/>
  <c r="C54" i="5"/>
  <c r="D125" i="5"/>
  <c r="D216" i="5"/>
  <c r="D107" i="5"/>
  <c r="B245" i="5"/>
  <c r="D82" i="5"/>
  <c r="A259" i="5"/>
  <c r="C282" i="5"/>
  <c r="A257" i="5"/>
  <c r="C105" i="5"/>
  <c r="C266" i="5"/>
  <c r="C192" i="5"/>
  <c r="C144" i="5"/>
  <c r="B14" i="5"/>
  <c r="D268" i="5"/>
  <c r="C34" i="5"/>
  <c r="C199" i="5"/>
  <c r="C37" i="5"/>
  <c r="D54" i="5"/>
  <c r="C125" i="5"/>
  <c r="C216" i="5"/>
  <c r="C107" i="5"/>
  <c r="A245" i="5"/>
  <c r="C82" i="5"/>
  <c r="D259" i="5"/>
  <c r="A282" i="5"/>
  <c r="D257" i="5"/>
  <c r="B105" i="5"/>
  <c r="B266" i="5"/>
  <c r="B192" i="5"/>
  <c r="B144" i="5"/>
  <c r="D14" i="5"/>
  <c r="C268" i="5"/>
  <c r="B34" i="5"/>
  <c r="B199" i="5"/>
  <c r="B37" i="5"/>
  <c r="B54" i="5"/>
  <c r="B125" i="5"/>
  <c r="A216" i="5"/>
  <c r="B107" i="5"/>
  <c r="D245" i="5"/>
  <c r="B82" i="5"/>
  <c r="C259" i="5"/>
  <c r="C4" i="1"/>
  <c r="I16" i="7" l="1"/>
  <c r="A19" i="7"/>
  <c r="I17" i="7" l="1"/>
  <c r="A20" i="7"/>
  <c r="I19" i="7" l="1"/>
  <c r="I18" i="7"/>
  <c r="A21" i="7"/>
  <c r="A22" i="7" l="1"/>
  <c r="I20" i="7"/>
  <c r="A23" i="7" l="1"/>
  <c r="I21" i="7"/>
  <c r="A24" i="7" l="1"/>
  <c r="I22" i="7"/>
  <c r="A25" i="7" l="1"/>
  <c r="I23" i="7"/>
  <c r="I24" i="7" l="1"/>
  <c r="A26" i="7"/>
  <c r="I25" i="7" l="1"/>
  <c r="A27" i="7"/>
  <c r="I26" i="7" l="1"/>
  <c r="A28" i="7"/>
  <c r="A29" i="7" l="1"/>
  <c r="I27" i="7"/>
  <c r="I28" i="7" l="1"/>
  <c r="A30" i="7"/>
  <c r="I29" i="7" l="1"/>
  <c r="A31" i="7"/>
  <c r="I30" i="7" l="1"/>
  <c r="A32" i="7"/>
  <c r="I31" i="7" l="1"/>
  <c r="A33" i="7"/>
  <c r="A34" i="7" l="1"/>
  <c r="I32" i="7"/>
  <c r="A35" i="7" l="1"/>
  <c r="I33" i="7"/>
  <c r="A36" i="7" l="1"/>
  <c r="I34" i="7"/>
  <c r="I35" i="7" l="1"/>
  <c r="A37" i="7"/>
  <c r="I36" i="7" l="1"/>
  <c r="A38" i="7"/>
  <c r="I37" i="7" l="1"/>
  <c r="A39" i="7"/>
  <c r="I38" i="7" l="1"/>
  <c r="A40" i="7"/>
  <c r="A41" i="7" l="1"/>
  <c r="I39" i="7"/>
  <c r="I40" i="7" l="1"/>
  <c r="A42" i="7"/>
  <c r="I41" i="7" l="1"/>
  <c r="A43" i="7"/>
  <c r="I42" i="7" l="1"/>
  <c r="A44" i="7"/>
  <c r="I43" i="7" l="1"/>
  <c r="A45" i="7"/>
  <c r="A46" i="7" l="1"/>
  <c r="I44" i="7"/>
  <c r="A47" i="7" l="1"/>
  <c r="I45" i="7"/>
  <c r="A48" i="7" l="1"/>
  <c r="I46" i="7"/>
  <c r="A49" i="7" l="1"/>
  <c r="I47" i="7"/>
  <c r="I48" i="7" l="1"/>
  <c r="A50" i="7"/>
  <c r="A51" i="7" l="1"/>
  <c r="I49" i="7"/>
  <c r="I50" i="7" l="1"/>
  <c r="A52" i="7"/>
  <c r="A53" i="7" l="1"/>
  <c r="I51" i="7"/>
  <c r="I52" i="7" l="1"/>
  <c r="A54" i="7"/>
  <c r="I53" i="7" l="1"/>
  <c r="A55" i="7"/>
  <c r="I54" i="7" l="1"/>
  <c r="A56" i="7"/>
  <c r="I55" i="7" l="1"/>
  <c r="A57" i="7"/>
  <c r="A58" i="7" l="1"/>
  <c r="I56" i="7"/>
  <c r="A59" i="7" l="1"/>
  <c r="I57" i="7"/>
  <c r="A60" i="7" l="1"/>
  <c r="I58" i="7"/>
  <c r="I59" i="7" l="1"/>
  <c r="A61" i="7"/>
  <c r="I60" i="7" l="1"/>
  <c r="A62" i="7"/>
  <c r="I61" i="7" l="1"/>
  <c r="A63" i="7"/>
  <c r="A64" i="7" l="1"/>
  <c r="I62" i="7"/>
  <c r="A65" i="7" l="1"/>
  <c r="I63" i="7"/>
  <c r="I64" i="7" l="1"/>
  <c r="A66" i="7"/>
  <c r="I65" i="7" l="1"/>
  <c r="A67" i="7"/>
  <c r="A68" i="7" l="1"/>
  <c r="I66" i="7"/>
  <c r="I67" i="7" l="1"/>
  <c r="A69" i="7"/>
  <c r="A70" i="7" l="1"/>
  <c r="I68" i="7"/>
  <c r="I69" i="7" l="1"/>
  <c r="A71" i="7"/>
  <c r="I70" i="7" l="1"/>
  <c r="A72" i="7"/>
  <c r="I71" i="7" l="1"/>
  <c r="A73" i="7"/>
  <c r="I72" i="7" l="1"/>
  <c r="A74" i="7"/>
  <c r="A75" i="7" l="1"/>
  <c r="I73" i="7"/>
  <c r="I74" i="7" l="1"/>
  <c r="A76" i="7"/>
  <c r="I75" i="7" l="1"/>
  <c r="A77" i="7"/>
  <c r="I76" i="7" l="1"/>
  <c r="A78" i="7"/>
  <c r="I77" i="7" l="1"/>
  <c r="A79" i="7"/>
  <c r="I78" i="7" l="1"/>
  <c r="A80" i="7"/>
  <c r="I79" i="7" l="1"/>
  <c r="A81" i="7"/>
  <c r="A82" i="7" l="1"/>
  <c r="I80" i="7"/>
  <c r="I81" i="7" l="1"/>
  <c r="A83" i="7"/>
  <c r="I82" i="7" l="1"/>
  <c r="A84" i="7"/>
  <c r="I83" i="7" l="1"/>
  <c r="A85" i="7"/>
  <c r="A86" i="7" l="1"/>
  <c r="I84" i="7"/>
  <c r="A87" i="7" l="1"/>
  <c r="I85" i="7"/>
  <c r="I86" i="7" l="1"/>
  <c r="A88" i="7"/>
  <c r="A89" i="7" l="1"/>
  <c r="I87" i="7"/>
  <c r="I88" i="7" l="1"/>
  <c r="A90" i="7"/>
  <c r="I89" i="7" l="1"/>
  <c r="A91" i="7"/>
  <c r="A92" i="7" l="1"/>
  <c r="I90" i="7"/>
  <c r="I91" i="7" l="1"/>
  <c r="A93" i="7"/>
  <c r="A94" i="7" l="1"/>
  <c r="I92" i="7"/>
  <c r="I93" i="7" l="1"/>
  <c r="A95" i="7"/>
  <c r="A96" i="7" l="1"/>
  <c r="I94" i="7"/>
  <c r="I95" i="7" l="1"/>
  <c r="A97" i="7"/>
  <c r="I96" i="7" l="1"/>
  <c r="A98" i="7"/>
  <c r="I97" i="7" l="1"/>
  <c r="A99" i="7"/>
  <c r="I98" i="7" l="1"/>
  <c r="A100" i="7"/>
  <c r="A101" i="7" l="1"/>
  <c r="I99" i="7"/>
  <c r="I100" i="7" l="1"/>
  <c r="A102" i="7"/>
  <c r="A103" i="7" l="1"/>
  <c r="I101" i="7"/>
  <c r="I102" i="7" l="1"/>
  <c r="A104" i="7"/>
  <c r="A105" i="7" l="1"/>
  <c r="I103" i="7"/>
  <c r="I104" i="7" l="1"/>
  <c r="A106" i="7"/>
  <c r="I105" i="7" l="1"/>
  <c r="A107" i="7"/>
  <c r="A108" i="7" l="1"/>
  <c r="I106" i="7"/>
  <c r="I107" i="7" l="1"/>
  <c r="A109" i="7"/>
  <c r="A110" i="7" l="1"/>
  <c r="I108" i="7"/>
  <c r="I109" i="7" l="1"/>
  <c r="A111" i="7"/>
  <c r="I110" i="7" l="1"/>
  <c r="A112" i="7"/>
  <c r="I111" i="7" l="1"/>
  <c r="A113" i="7"/>
  <c r="I112" i="7" l="1"/>
  <c r="A114" i="7"/>
  <c r="A115" i="7" l="1"/>
  <c r="I113" i="7"/>
  <c r="I114" i="7" l="1"/>
  <c r="A116" i="7"/>
  <c r="A117" i="7" l="1"/>
  <c r="I115" i="7"/>
  <c r="I116" i="7" l="1"/>
  <c r="A118" i="7"/>
  <c r="I117" i="7" l="1"/>
  <c r="A119" i="7"/>
  <c r="A120" i="7" l="1"/>
  <c r="I118" i="7"/>
  <c r="I119" i="7" l="1"/>
  <c r="A121" i="7"/>
  <c r="A122" i="7" l="1"/>
  <c r="I120" i="7"/>
  <c r="I121" i="7" l="1"/>
  <c r="A123" i="7"/>
  <c r="I122" i="7" l="1"/>
  <c r="A124" i="7"/>
  <c r="A125" i="7" l="1"/>
  <c r="I123" i="7"/>
  <c r="I124" i="7" l="1"/>
  <c r="A126" i="7"/>
  <c r="A127" i="7" l="1"/>
  <c r="I125" i="7"/>
  <c r="I126" i="7" l="1"/>
  <c r="A128" i="7"/>
  <c r="A129" i="7" l="1"/>
  <c r="I127" i="7"/>
  <c r="I128" i="7" l="1"/>
  <c r="A130" i="7"/>
  <c r="I129" i="7" l="1"/>
  <c r="A131" i="7"/>
  <c r="A132" i="7" l="1"/>
  <c r="I130" i="7"/>
  <c r="I131" i="7" l="1"/>
  <c r="A133" i="7"/>
  <c r="A134" i="7" l="1"/>
  <c r="I132" i="7"/>
  <c r="I133" i="7" l="1"/>
  <c r="A135" i="7"/>
  <c r="I134" i="7" l="1"/>
  <c r="A136" i="7"/>
  <c r="A137" i="7" l="1"/>
  <c r="I135" i="7"/>
  <c r="I136" i="7" l="1"/>
  <c r="A138" i="7"/>
  <c r="A139" i="7" l="1"/>
  <c r="I137" i="7"/>
  <c r="I138" i="7" l="1"/>
  <c r="A140" i="7"/>
  <c r="A141" i="7" l="1"/>
  <c r="I139" i="7"/>
  <c r="I140" i="7" l="1"/>
  <c r="A142" i="7"/>
  <c r="I141" i="7" l="1"/>
  <c r="A143" i="7"/>
  <c r="A144" i="7" l="1"/>
  <c r="I142" i="7"/>
  <c r="I143" i="7" l="1"/>
  <c r="A145" i="7"/>
  <c r="A146" i="7" l="1"/>
  <c r="I144" i="7"/>
  <c r="I145" i="7" l="1"/>
  <c r="A147" i="7"/>
  <c r="I146" i="7" l="1"/>
  <c r="A148" i="7"/>
  <c r="A149" i="7" l="1"/>
  <c r="I147" i="7"/>
  <c r="I148" i="7" l="1"/>
  <c r="A150" i="7"/>
  <c r="A151" i="7" l="1"/>
  <c r="I149" i="7"/>
  <c r="I150" i="7" l="1"/>
  <c r="A152" i="7"/>
  <c r="A153" i="7" l="1"/>
  <c r="I151" i="7"/>
  <c r="I152" i="7" l="1"/>
  <c r="A154" i="7"/>
  <c r="I153" i="7" l="1"/>
  <c r="A155" i="7"/>
  <c r="A156" i="7" l="1"/>
  <c r="I154" i="7"/>
  <c r="I155" i="7" l="1"/>
  <c r="A157" i="7"/>
  <c r="A158" i="7" l="1"/>
  <c r="I156" i="7"/>
  <c r="I157" i="7" l="1"/>
  <c r="A159" i="7"/>
  <c r="I158" i="7" l="1"/>
  <c r="A160" i="7"/>
  <c r="A161" i="7" l="1"/>
  <c r="I159" i="7"/>
  <c r="I160" i="7" l="1"/>
  <c r="A162" i="7"/>
  <c r="A163" i="7" l="1"/>
  <c r="I161" i="7"/>
  <c r="I162" i="7" l="1"/>
  <c r="A164" i="7"/>
  <c r="A165" i="7" l="1"/>
  <c r="I163" i="7"/>
  <c r="I164" i="7" l="1"/>
  <c r="A166" i="7"/>
  <c r="I165" i="7" l="1"/>
  <c r="A167" i="7"/>
  <c r="A168" i="7" l="1"/>
  <c r="I166" i="7"/>
  <c r="I167" i="7" l="1"/>
  <c r="A169" i="7"/>
  <c r="A170" i="7" l="1"/>
  <c r="I168" i="7"/>
  <c r="I169" i="7" l="1"/>
  <c r="A171" i="7"/>
  <c r="I170" i="7" l="1"/>
  <c r="A172" i="7"/>
  <c r="A173" i="7" l="1"/>
  <c r="I171" i="7"/>
  <c r="I172" i="7" l="1"/>
  <c r="A174" i="7"/>
  <c r="A175" i="7" l="1"/>
  <c r="I173" i="7"/>
  <c r="I174" i="7" l="1"/>
  <c r="A176" i="7"/>
  <c r="A177" i="7" l="1"/>
  <c r="I175" i="7"/>
  <c r="I176" i="7" l="1"/>
  <c r="A178" i="7"/>
  <c r="I177" i="7" l="1"/>
  <c r="A179" i="7"/>
  <c r="A180" i="7" l="1"/>
  <c r="I178" i="7"/>
  <c r="I179" i="7" l="1"/>
  <c r="A181" i="7"/>
  <c r="A182" i="7" l="1"/>
  <c r="I180" i="7"/>
  <c r="I181" i="7" l="1"/>
  <c r="A183" i="7"/>
  <c r="I182" i="7" l="1"/>
  <c r="A184" i="7"/>
  <c r="A185" i="7" l="1"/>
  <c r="I183" i="7"/>
  <c r="I184" i="7" l="1"/>
  <c r="A186" i="7"/>
  <c r="A187" i="7" l="1"/>
  <c r="I185" i="7"/>
  <c r="I186" i="7" l="1"/>
  <c r="A188" i="7"/>
  <c r="A189" i="7" l="1"/>
  <c r="I187" i="7"/>
  <c r="I188" i="7" l="1"/>
  <c r="A190" i="7"/>
  <c r="I189" i="7" l="1"/>
  <c r="A191" i="7"/>
  <c r="A192" i="7" l="1"/>
  <c r="I190" i="7"/>
  <c r="I191" i="7" l="1"/>
  <c r="A193" i="7"/>
  <c r="A194" i="7" l="1"/>
  <c r="I192" i="7"/>
  <c r="I193" i="7" l="1"/>
  <c r="A195" i="7"/>
  <c r="I194" i="7" l="1"/>
  <c r="A196" i="7"/>
  <c r="A197" i="7" l="1"/>
  <c r="I195" i="7"/>
  <c r="I196" i="7" l="1"/>
  <c r="A198" i="7"/>
  <c r="I197" i="7" l="1"/>
  <c r="A199" i="7"/>
  <c r="I198" i="7" l="1"/>
  <c r="A200" i="7"/>
  <c r="I199" i="7" l="1"/>
  <c r="A201" i="7"/>
  <c r="I200" i="7" l="1"/>
  <c r="A202" i="7"/>
  <c r="I201" i="7" l="1"/>
  <c r="A203" i="7"/>
  <c r="A204" i="7" l="1"/>
  <c r="I202" i="7"/>
  <c r="I203" i="7" l="1"/>
  <c r="A205" i="7"/>
  <c r="A206" i="7" l="1"/>
  <c r="I204" i="7"/>
  <c r="I205" i="7" l="1"/>
  <c r="A207" i="7"/>
  <c r="A208" i="7" l="1"/>
  <c r="I206" i="7"/>
  <c r="A209" i="7" l="1"/>
  <c r="I207" i="7"/>
  <c r="I208" i="7" l="1"/>
  <c r="A210" i="7"/>
  <c r="I209" i="7" l="1"/>
  <c r="A211" i="7"/>
  <c r="I210" i="7" l="1"/>
  <c r="A212" i="7"/>
  <c r="A213" i="7" l="1"/>
  <c r="I211" i="7"/>
  <c r="I212" i="7" l="1"/>
  <c r="A214" i="7"/>
  <c r="I213" i="7" l="1"/>
  <c r="A215" i="7"/>
  <c r="A216" i="7" l="1"/>
  <c r="I214" i="7"/>
  <c r="I215" i="7" l="1"/>
  <c r="A217" i="7"/>
  <c r="A218" i="7" l="1"/>
  <c r="I216" i="7"/>
  <c r="I217" i="7" l="1"/>
  <c r="A219" i="7"/>
  <c r="I218" i="7" l="1"/>
  <c r="A220" i="7"/>
  <c r="A221" i="7" l="1"/>
  <c r="I219" i="7"/>
  <c r="I220" i="7" l="1"/>
  <c r="A222" i="7"/>
  <c r="A223" i="7" l="1"/>
  <c r="I221" i="7"/>
  <c r="I222" i="7" l="1"/>
  <c r="A224" i="7"/>
  <c r="A225" i="7" l="1"/>
  <c r="I223" i="7"/>
  <c r="I224" i="7" l="1"/>
  <c r="A226" i="7"/>
  <c r="I225" i="7" l="1"/>
  <c r="A227" i="7"/>
  <c r="I226" i="7" l="1"/>
  <c r="A228" i="7"/>
  <c r="I227" i="7" l="1"/>
  <c r="A229" i="7"/>
  <c r="A230" i="7" l="1"/>
  <c r="I228" i="7"/>
  <c r="I229" i="7" l="1"/>
  <c r="A231" i="7"/>
  <c r="I230" i="7" l="1"/>
  <c r="A232" i="7"/>
  <c r="A233" i="7" l="1"/>
  <c r="I231" i="7"/>
  <c r="I232" i="7" l="1"/>
  <c r="A234" i="7"/>
  <c r="A235" i="7" l="1"/>
  <c r="I233" i="7"/>
  <c r="I234" i="7" l="1"/>
  <c r="A236" i="7"/>
  <c r="A237" i="7" l="1"/>
  <c r="I235" i="7"/>
  <c r="I236" i="7" l="1"/>
  <c r="A238" i="7"/>
  <c r="I237" i="7" l="1"/>
  <c r="A239" i="7"/>
  <c r="A240" i="7" l="1"/>
  <c r="I238" i="7"/>
  <c r="I239" i="7" l="1"/>
  <c r="A241" i="7"/>
  <c r="A242" i="7" l="1"/>
  <c r="I240" i="7"/>
  <c r="I241" i="7" l="1"/>
  <c r="A243" i="7"/>
  <c r="I242" i="7" l="1"/>
  <c r="A244" i="7"/>
  <c r="A245" i="7" l="1"/>
  <c r="I243" i="7"/>
  <c r="I244" i="7" l="1"/>
  <c r="A246" i="7"/>
  <c r="A247" i="7" l="1"/>
  <c r="I245" i="7"/>
  <c r="I246" i="7" l="1"/>
  <c r="A248" i="7"/>
  <c r="A249" i="7" l="1"/>
  <c r="I247" i="7"/>
  <c r="I248" i="7" l="1"/>
  <c r="A250" i="7"/>
  <c r="I249" i="7" l="1"/>
  <c r="A251" i="7"/>
  <c r="A252" i="7" l="1"/>
  <c r="I250" i="7"/>
  <c r="I251" i="7" l="1"/>
  <c r="A253" i="7"/>
  <c r="A254" i="7" l="1"/>
  <c r="I252" i="7"/>
  <c r="I253" i="7" l="1"/>
  <c r="A255" i="7"/>
  <c r="I254" i="7" l="1"/>
  <c r="A256" i="7"/>
  <c r="A257" i="7" l="1"/>
  <c r="I255" i="7"/>
  <c r="I256" i="7" l="1"/>
  <c r="A258" i="7"/>
  <c r="A259" i="7" l="1"/>
  <c r="I257" i="7"/>
  <c r="I258" i="7" l="1"/>
  <c r="A260" i="7"/>
  <c r="A261" i="7" l="1"/>
  <c r="I259" i="7"/>
  <c r="I260" i="7" l="1"/>
  <c r="A262" i="7"/>
  <c r="I261" i="7" l="1"/>
  <c r="A263" i="7"/>
  <c r="A264" i="7" l="1"/>
  <c r="I262" i="7"/>
  <c r="I263" i="7" l="1"/>
  <c r="A265" i="7"/>
  <c r="I264" i="7" l="1"/>
  <c r="A266" i="7"/>
  <c r="I265" i="7" l="1"/>
  <c r="A267" i="7"/>
  <c r="I266" i="7" l="1"/>
  <c r="A268" i="7"/>
  <c r="A269" i="7" l="1"/>
  <c r="I267" i="7"/>
  <c r="I268" i="7" l="1"/>
  <c r="A270" i="7"/>
  <c r="A271" i="7" l="1"/>
  <c r="I269" i="7"/>
  <c r="I270" i="7" l="1"/>
  <c r="A272" i="7"/>
  <c r="A273" i="7" l="1"/>
  <c r="I271" i="7"/>
  <c r="I272" i="7" l="1"/>
  <c r="A274" i="7"/>
  <c r="I273" i="7" l="1"/>
  <c r="A275" i="7"/>
  <c r="A276" i="7" l="1"/>
  <c r="I274" i="7"/>
  <c r="I275" i="7" l="1"/>
  <c r="A277" i="7"/>
  <c r="A278" i="7" l="1"/>
  <c r="I276" i="7"/>
  <c r="I277" i="7" l="1"/>
  <c r="A279" i="7"/>
  <c r="I278" i="7" l="1"/>
  <c r="A280" i="7"/>
  <c r="A281" i="7" l="1"/>
  <c r="I279" i="7"/>
  <c r="I280" i="7" l="1"/>
  <c r="A282" i="7"/>
  <c r="A283" i="7" l="1"/>
  <c r="I281" i="7"/>
  <c r="I282" i="7" l="1"/>
  <c r="A284" i="7"/>
  <c r="A285" i="7" l="1"/>
  <c r="I283" i="7"/>
  <c r="I284" i="7" l="1"/>
  <c r="A286" i="7"/>
  <c r="I285" i="7" l="1"/>
  <c r="A287" i="7"/>
  <c r="A288" i="7" l="1"/>
  <c r="I286" i="7"/>
  <c r="I287" i="7" l="1"/>
  <c r="A289" i="7"/>
  <c r="A290" i="7" l="1"/>
  <c r="I288" i="7"/>
  <c r="I289" i="7" l="1"/>
  <c r="A291" i="7"/>
  <c r="I290" i="7" l="1"/>
  <c r="A292" i="7"/>
  <c r="A293" i="7" l="1"/>
  <c r="I291" i="7"/>
  <c r="I292" i="7" l="1"/>
  <c r="A294" i="7"/>
  <c r="A295" i="7" l="1"/>
  <c r="I293" i="7"/>
  <c r="I294" i="7" l="1"/>
  <c r="I29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Geyer, Sean</author>
  </authors>
  <commentList>
    <comment ref="B4" authorId="0" shapeId="0" xr:uid="{FFC66A5D-A857-4B00-9784-320856796658}">
      <text>
        <r>
          <rPr>
            <b/>
            <sz val="9"/>
            <color indexed="81"/>
            <rFont val="Tahoma"/>
            <family val="2"/>
          </rPr>
          <t>Geyer, Sean:</t>
        </r>
        <r>
          <rPr>
            <sz val="9"/>
            <color indexed="81"/>
            <rFont val="Tahoma"/>
            <family val="2"/>
          </rPr>
          <t xml:space="preserve">
Check if total depth of design storm = total IDF depth</t>
        </r>
      </text>
    </comment>
    <comment ref="C4" authorId="0" shapeId="0" xr:uid="{CA68F484-9709-499F-ADBE-8C14BC3392C3}">
      <text>
        <r>
          <rPr>
            <b/>
            <sz val="9"/>
            <color indexed="81"/>
            <rFont val="Tahoma"/>
            <family val="2"/>
          </rPr>
          <t>Geyer, Sean:</t>
        </r>
        <r>
          <rPr>
            <sz val="9"/>
            <color indexed="81"/>
            <rFont val="Tahoma"/>
            <family val="2"/>
          </rPr>
          <t xml:space="preserve">
Check if total cumulative depth = total IDF depth</t>
        </r>
      </text>
    </comment>
  </commentList>
</comments>
</file>

<file path=xl/sharedStrings.xml><?xml version="1.0" encoding="utf-8"?>
<sst xmlns="http://schemas.openxmlformats.org/spreadsheetml/2006/main" count="547" uniqueCount="463">
  <si>
    <t>Return Period</t>
  </si>
  <si>
    <t>2-year</t>
  </si>
  <si>
    <t>5-year</t>
  </si>
  <si>
    <t>10-year</t>
  </si>
  <si>
    <t>25-year</t>
  </si>
  <si>
    <t>50-year</t>
  </si>
  <si>
    <t>100-year</t>
  </si>
  <si>
    <t>200-year</t>
  </si>
  <si>
    <t>5-min</t>
  </si>
  <si>
    <t>10-min</t>
  </si>
  <si>
    <t>15-min</t>
  </si>
  <si>
    <t>30-min</t>
  </si>
  <si>
    <t>1-hr</t>
  </si>
  <si>
    <t>2-hr</t>
  </si>
  <si>
    <t>6-hr</t>
  </si>
  <si>
    <t>12-hr</t>
  </si>
  <si>
    <t>24-hr</t>
  </si>
  <si>
    <t>Zone 1S</t>
  </si>
  <si>
    <t>Zone 1N</t>
  </si>
  <si>
    <t>Zone 5</t>
  </si>
  <si>
    <t>Duration</t>
  </si>
  <si>
    <t>COV (2018)</t>
  </si>
  <si>
    <t>COV (2014)</t>
  </si>
  <si>
    <t>MV (2018)</t>
  </si>
  <si>
    <t>Zone</t>
  </si>
  <si>
    <t>All</t>
  </si>
  <si>
    <t>Horizon</t>
  </si>
  <si>
    <t>Current</t>
  </si>
  <si>
    <t>500-year</t>
  </si>
  <si>
    <t>Distribution</t>
  </si>
  <si>
    <t>Avg. Intensity</t>
  </si>
  <si>
    <t>COV (2018), Zone 1S, Current, 5-min</t>
  </si>
  <si>
    <t>COV (2018), Zone 1S, Current, 10-min</t>
  </si>
  <si>
    <t>COV (2018), Zone 1S, Current, 15-min</t>
  </si>
  <si>
    <t>COV (2018), Zone 1S, Current, 30-min</t>
  </si>
  <si>
    <t>COV (2018), Zone 1S, Current, 1-hr</t>
  </si>
  <si>
    <t>COV (2018), Zone 1S, Current, 2-hr</t>
  </si>
  <si>
    <t>COV (2018), Zone 1S, Current, 6-hr</t>
  </si>
  <si>
    <t>COV (2018), Zone 1S, Current, 12-hr</t>
  </si>
  <si>
    <t>COV (2018), Zone 1S, Current, 24-hr</t>
  </si>
  <si>
    <t>COV (2018), Zone 1S, 2050 Moderate, 5-min</t>
  </si>
  <si>
    <t>COV (2018), Zone 1S, 2050 Moderate, 10-min</t>
  </si>
  <si>
    <t>COV (2018), Zone 1S, 2050 Moderate, 15-min</t>
  </si>
  <si>
    <t>COV (2018), Zone 1S, 2050 Moderate, 30-min</t>
  </si>
  <si>
    <t>COV (2018), Zone 1S, 2050 Moderate, 1-hr</t>
  </si>
  <si>
    <t>COV (2018), Zone 1S, 2050 Moderate, 2-hr</t>
  </si>
  <si>
    <t>COV (2018), Zone 1S, 2050 Moderate, 6-hr</t>
  </si>
  <si>
    <t>COV (2018), Zone 1S, 2050 Moderate, 12-hr</t>
  </si>
  <si>
    <t>COV (2018), Zone 1S, 2050 Moderate, 24-hr</t>
  </si>
  <si>
    <t>COV (2018), Zone 1S, 2050 High, 5-min</t>
  </si>
  <si>
    <t>COV (2018), Zone 1S, 2050 High, 10-min</t>
  </si>
  <si>
    <t>COV (2018), Zone 1S, 2050 High, 15-min</t>
  </si>
  <si>
    <t>COV (2018), Zone 1S, 2050 High, 30-min</t>
  </si>
  <si>
    <t>COV (2018), Zone 1S, 2050 High, 1-hr</t>
  </si>
  <si>
    <t>COV (2018), Zone 1S, 2050 High, 2-hr</t>
  </si>
  <si>
    <t>COV (2018), Zone 1S, 2050 High, 6-hr</t>
  </si>
  <si>
    <t>COV (2018), Zone 1S, 2050 High, 12-hr</t>
  </si>
  <si>
    <t>COV (2018), Zone 1S, 2050 High, 24-hr</t>
  </si>
  <si>
    <t>COV (2018), Zone 1S, 2100 Moderate, 5-min</t>
  </si>
  <si>
    <t>COV (2018), Zone 1S, 2100 Moderate, 10-min</t>
  </si>
  <si>
    <t>COV (2018), Zone 1S, 2100 Moderate, 15-min</t>
  </si>
  <si>
    <t>COV (2018), Zone 1S, 2100 Moderate, 30-min</t>
  </si>
  <si>
    <t>COV (2018), Zone 1S, 2100 Moderate, 1-hr</t>
  </si>
  <si>
    <t>COV (2018), Zone 1S, 2100 Moderate, 2-hr</t>
  </si>
  <si>
    <t>COV (2018), Zone 1S, 2100 Moderate, 6-hr</t>
  </si>
  <si>
    <t>COV (2018), Zone 1S, 2100 Moderate, 12-hr</t>
  </si>
  <si>
    <t>COV (2018), Zone 1S, 2100 Moderate, 24-hr</t>
  </si>
  <si>
    <t>COV (2018), Zone 1S, 2100 High, 5-min</t>
  </si>
  <si>
    <t>COV (2018), Zone 1S, 2100 High, 10-min</t>
  </si>
  <si>
    <t>COV (2018), Zone 1S, 2100 High, 15-min</t>
  </si>
  <si>
    <t>COV (2018), Zone 1S, 2100 High, 30-min</t>
  </si>
  <si>
    <t>COV (2018), Zone 1S, 2100 High, 1-hr</t>
  </si>
  <si>
    <t>COV (2018), Zone 1S, 2100 High, 2-hr</t>
  </si>
  <si>
    <t>COV (2018), Zone 1S, 2100 High, 6-hr</t>
  </si>
  <si>
    <t>COV (2018), Zone 1S, 2100 High, 12-hr</t>
  </si>
  <si>
    <t>COV (2018), Zone 1S, 2100 High, 24-hr</t>
  </si>
  <si>
    <t>COV (2018), Zone 1N, Current, 5-min</t>
  </si>
  <si>
    <t>COV (2018), Zone 1N, Current, 10-min</t>
  </si>
  <si>
    <t>COV (2018), Zone 1N, Current, 15-min</t>
  </si>
  <si>
    <t>COV (2018), Zone 1N, Current, 30-min</t>
  </si>
  <si>
    <t>COV (2018), Zone 1N, Current, 1-hr</t>
  </si>
  <si>
    <t>COV (2018), Zone 1N, Current, 2-hr</t>
  </si>
  <si>
    <t>COV (2018), Zone 1N, Current, 6-hr</t>
  </si>
  <si>
    <t>COV (2018), Zone 1N, Current, 12-hr</t>
  </si>
  <si>
    <t>COV (2018), Zone 1N, Current, 24-hr</t>
  </si>
  <si>
    <t>COV (2018), Zone 1N, 2050 Moderate, 5-min</t>
  </si>
  <si>
    <t>COV (2018), Zone 1N, 2050 Moderate, 10-min</t>
  </si>
  <si>
    <t>COV (2018), Zone 1N, 2050 Moderate, 15-min</t>
  </si>
  <si>
    <t>COV (2018), Zone 1N, 2050 Moderate, 30-min</t>
  </si>
  <si>
    <t>COV (2018), Zone 1N, 2050 Moderate, 1-hr</t>
  </si>
  <si>
    <t>COV (2018), Zone 1N, 2050 Moderate, 2-hr</t>
  </si>
  <si>
    <t>COV (2018), Zone 1N, 2050 Moderate, 6-hr</t>
  </si>
  <si>
    <t>COV (2018), Zone 1N, 2050 Moderate, 12-hr</t>
  </si>
  <si>
    <t>COV (2018), Zone 1N, 2050 Moderate, 24-hr</t>
  </si>
  <si>
    <t>COV (2018), Zone 1N, 2050 High, 5-min</t>
  </si>
  <si>
    <t>COV (2018), Zone 1N, 2050 High, 10-min</t>
  </si>
  <si>
    <t>COV (2018), Zone 1N, 2050 High, 15-min</t>
  </si>
  <si>
    <t>COV (2018), Zone 1N, 2050 High, 30-min</t>
  </si>
  <si>
    <t>COV (2018), Zone 1N, 2050 High, 1-hr</t>
  </si>
  <si>
    <t>COV (2018), Zone 1N, 2050 High, 2-hr</t>
  </si>
  <si>
    <t>COV (2018), Zone 1N, 2050 High, 6-hr</t>
  </si>
  <si>
    <t>COV (2018), Zone 1N, 2050 High, 12-hr</t>
  </si>
  <si>
    <t>COV (2018), Zone 1N, 2050 High, 24-hr</t>
  </si>
  <si>
    <t>COV (2018), Zone 1N, 2100 Moderate, 5-min</t>
  </si>
  <si>
    <t>COV (2018), Zone 1N, 2100 Moderate, 10-min</t>
  </si>
  <si>
    <t>COV (2018), Zone 1N, 2100 Moderate, 15-min</t>
  </si>
  <si>
    <t>COV (2018), Zone 1N, 2100 Moderate, 30-min</t>
  </si>
  <si>
    <t>COV (2018), Zone 1N, 2100 Moderate, 1-hr</t>
  </si>
  <si>
    <t>COV (2018), Zone 1N, 2100 Moderate, 2-hr</t>
  </si>
  <si>
    <t>COV (2018), Zone 1N, 2100 Moderate, 6-hr</t>
  </si>
  <si>
    <t>COV (2018), Zone 1N, 2100 Moderate, 12-hr</t>
  </si>
  <si>
    <t>COV (2018), Zone 1N, 2100 Moderate, 24-hr</t>
  </si>
  <si>
    <t>COV (2018), Zone 1N, 2100 High, 5-min</t>
  </si>
  <si>
    <t>COV (2018), Zone 1N, 2100 High, 10-min</t>
  </si>
  <si>
    <t>COV (2018), Zone 1N, 2100 High, 15-min</t>
  </si>
  <si>
    <t>COV (2018), Zone 1N, 2100 High, 30-min</t>
  </si>
  <si>
    <t>COV (2018), Zone 1N, 2100 High, 1-hr</t>
  </si>
  <si>
    <t>COV (2018), Zone 1N, 2100 High, 2-hr</t>
  </si>
  <si>
    <t>COV (2018), Zone 1N, 2100 High, 6-hr</t>
  </si>
  <si>
    <t>COV (2018), Zone 1N, 2100 High, 12-hr</t>
  </si>
  <si>
    <t>COV (2018), Zone 1N, 2100 High, 24-hr</t>
  </si>
  <si>
    <t>COV (2018), Zone 5, Current, 5-min</t>
  </si>
  <si>
    <t>COV (2018), Zone 5, Current, 10-min</t>
  </si>
  <si>
    <t>COV (2018), Zone 5, Current, 15-min</t>
  </si>
  <si>
    <t>COV (2018), Zone 5, Current, 30-min</t>
  </si>
  <si>
    <t>COV (2018), Zone 5, Current, 1-hr</t>
  </si>
  <si>
    <t>COV (2018), Zone 5, Current, 2-hr</t>
  </si>
  <si>
    <t>COV (2018), Zone 5, Current, 6-hr</t>
  </si>
  <si>
    <t>COV (2018), Zone 5, Current, 12-hr</t>
  </si>
  <si>
    <t>COV (2018), Zone 5, Current, 24-hr</t>
  </si>
  <si>
    <t>COV (2018), Zone 5, 2050 Moderate, 5-min</t>
  </si>
  <si>
    <t>COV (2018), Zone 5, 2050 Moderate, 10-min</t>
  </si>
  <si>
    <t>COV (2018), Zone 5, 2050 Moderate, 15-min</t>
  </si>
  <si>
    <t>COV (2018), Zone 5, 2050 Moderate, 30-min</t>
  </si>
  <si>
    <t>COV (2018), Zone 5, 2050 Moderate, 1-hr</t>
  </si>
  <si>
    <t>COV (2018), Zone 5, 2050 Moderate, 2-hr</t>
  </si>
  <si>
    <t>COV (2018), Zone 5, 2050 Moderate, 6-hr</t>
  </si>
  <si>
    <t>COV (2018), Zone 5, 2050 Moderate, 12-hr</t>
  </si>
  <si>
    <t>COV (2018), Zone 5, 2050 Moderate, 24-hr</t>
  </si>
  <si>
    <t>COV (2018), Zone 5, 2050 High, 5-min</t>
  </si>
  <si>
    <t>COV (2018), Zone 5, 2050 High, 10-min</t>
  </si>
  <si>
    <t>COV (2018), Zone 5, 2050 High, 15-min</t>
  </si>
  <si>
    <t>COV (2018), Zone 5, 2050 High, 30-min</t>
  </si>
  <si>
    <t>COV (2018), Zone 5, 2050 High, 1-hr</t>
  </si>
  <si>
    <t>COV (2018), Zone 5, 2050 High, 2-hr</t>
  </si>
  <si>
    <t>COV (2018), Zone 5, 2050 High, 6-hr</t>
  </si>
  <si>
    <t>COV (2018), Zone 5, 2050 High, 12-hr</t>
  </si>
  <si>
    <t>COV (2018), Zone 5, 2050 High, 24-hr</t>
  </si>
  <si>
    <t>COV (2018), Zone 5, 2100 Moderate, 5-min</t>
  </si>
  <si>
    <t>COV (2018), Zone 5, 2100 Moderate, 10-min</t>
  </si>
  <si>
    <t>COV (2018), Zone 5, 2100 Moderate, 15-min</t>
  </si>
  <si>
    <t>COV (2018), Zone 5, 2100 Moderate, 30-min</t>
  </si>
  <si>
    <t>COV (2018), Zone 5, 2100 Moderate, 1-hr</t>
  </si>
  <si>
    <t>COV (2018), Zone 5, 2100 Moderate, 2-hr</t>
  </si>
  <si>
    <t>COV (2018), Zone 5, 2100 Moderate, 6-hr</t>
  </si>
  <si>
    <t>COV (2018), Zone 5, 2100 Moderate, 12-hr</t>
  </si>
  <si>
    <t>COV (2018), Zone 5, 2100 Moderate, 24-hr</t>
  </si>
  <si>
    <t>COV (2018), Zone 5, 2100 High, 5-min</t>
  </si>
  <si>
    <t>COV (2018), Zone 5, 2100 High, 10-min</t>
  </si>
  <si>
    <t>COV (2018), Zone 5, 2100 High, 15-min</t>
  </si>
  <si>
    <t>COV (2018), Zone 5, 2100 High, 30-min</t>
  </si>
  <si>
    <t>COV (2018), Zone 5, 2100 High, 1-hr</t>
  </si>
  <si>
    <t>COV (2018), Zone 5, 2100 High, 2-hr</t>
  </si>
  <si>
    <t>COV (2018), Zone 5, 2100 High, 6-hr</t>
  </si>
  <si>
    <t>COV (2018), Zone 5, 2100 High, 12-hr</t>
  </si>
  <si>
    <t>COV (2018), Zone 5, 2100 High, 24-hr</t>
  </si>
  <si>
    <t>Hours</t>
  </si>
  <si>
    <t>2050 Moderate</t>
  </si>
  <si>
    <t>2050 High</t>
  </si>
  <si>
    <t>2100 Moderate</t>
  </si>
  <si>
    <t>2100 High</t>
  </si>
  <si>
    <t>Time</t>
  </si>
  <si>
    <t>IDF Lookup Phrase</t>
  </si>
  <si>
    <t>Dist. Lookup Phrase</t>
  </si>
  <si>
    <t>Cumulative (mm)</t>
  </si>
  <si>
    <t>Intensity (mm/hr)</t>
  </si>
  <si>
    <t>COV 2018 Zone</t>
  </si>
  <si>
    <t>COV 2014 Zone</t>
  </si>
  <si>
    <t>MV Zone</t>
  </si>
  <si>
    <t>Zone 1</t>
  </si>
  <si>
    <t>COV (2014), All, Current, 5-min</t>
  </si>
  <si>
    <t>COV (2014), All, Current, 10-min</t>
  </si>
  <si>
    <t>COV (2014), All, Current, 15-min</t>
  </si>
  <si>
    <t>COV (2014), All, Current, 30-min</t>
  </si>
  <si>
    <t>COV (2014), All, Current, 1-hr</t>
  </si>
  <si>
    <t>COV (2014), All, Current, 2-hr</t>
  </si>
  <si>
    <t>COV (2014), All, Current, 6-hr</t>
  </si>
  <si>
    <t>COV (2014), All, Current, 12-hr</t>
  </si>
  <si>
    <t>COV (2014), All, Current, 24-hr</t>
  </si>
  <si>
    <t>COV (2014), All, 2050, 5-min</t>
  </si>
  <si>
    <t>COV (2014), All, 2050, 10-min</t>
  </si>
  <si>
    <t>COV (2014), All, 2050, 15-min</t>
  </si>
  <si>
    <t>COV (2014), All, 2050, 30-min</t>
  </si>
  <si>
    <t>COV (2014), All, 2050, 1-hr</t>
  </si>
  <si>
    <t>COV (2014), All, 2050, 2-hr</t>
  </si>
  <si>
    <t>COV (2014), All, 2050, 6-hr</t>
  </si>
  <si>
    <t>COV (2014), All, 2050, 12-hr</t>
  </si>
  <si>
    <t>COV (2014), All, 2050, 24-hr</t>
  </si>
  <si>
    <t>COV (2014), All, 2100, 5-min</t>
  </si>
  <si>
    <t>COV (2014), All, 2100, 10-min</t>
  </si>
  <si>
    <t>COV (2014), All, 2100, 15-min</t>
  </si>
  <si>
    <t>COV (2014), All, 2100, 30-min</t>
  </si>
  <si>
    <t>COV (2014), All, 2100, 1-hr</t>
  </si>
  <si>
    <t>COV (2014), All, 2100, 2-hr</t>
  </si>
  <si>
    <t>COV (2014), All, 2100, 6-hr</t>
  </si>
  <si>
    <t>COV (2014), All, 2100, 12-hr</t>
  </si>
  <si>
    <t>COV (2014), All, 2100, 24-hr</t>
  </si>
  <si>
    <t>COV 2018 Horizon</t>
  </si>
  <si>
    <t>COV 2014 Horizon</t>
  </si>
  <si>
    <t>MV 2018 Horizon</t>
  </si>
  <si>
    <t>COV 2018 Return Period</t>
  </si>
  <si>
    <t>COV 2014 Return Period</t>
  </si>
  <si>
    <t>MV 2018 Return Period</t>
  </si>
  <si>
    <t>MV (2018), Zone 1, Current, 5-min</t>
  </si>
  <si>
    <t>MV (2018), Zone 1, Current, 10-min</t>
  </si>
  <si>
    <t>MV (2018), Zone 1, Current, 15-min</t>
  </si>
  <si>
    <t>MV (2018), Zone 1, Current, 30-min</t>
  </si>
  <si>
    <t>MV (2018), Zone 1, Current, 1-hr</t>
  </si>
  <si>
    <t>MV (2018), Zone 1, Current, 2-hr</t>
  </si>
  <si>
    <t>MV (2018), Zone 1, Current, 6-hr</t>
  </si>
  <si>
    <t>MV (2018), Zone 1, Current, 12-hr</t>
  </si>
  <si>
    <t>MV (2018), Zone 1, Current, 24-hr</t>
  </si>
  <si>
    <t>MV (2018), Zone 1, 2050 Moderate, 10-min</t>
  </si>
  <si>
    <t>MV (2018), Zone 1, 2050 Moderate, 15-min</t>
  </si>
  <si>
    <t>MV (2018), Zone 1, 2050 Moderate, 30-min</t>
  </si>
  <si>
    <t>MV (2018), Zone 1, 2050 Moderate, 5-min</t>
  </si>
  <si>
    <t>MV (2018), Zone 1, 2050 Moderate, 1-hr</t>
  </si>
  <si>
    <t>MV (2018), Zone 1, 2050 Moderate, 2-hr</t>
  </si>
  <si>
    <t>MV (2018), Zone 1, 2050 Moderate, 6-hr</t>
  </si>
  <si>
    <t>MV (2018), Zone 1, 2050 Moderate, 12-hr</t>
  </si>
  <si>
    <t>MV (2018), Zone 1, 2050 Moderate, 24-hr</t>
  </si>
  <si>
    <t>MV (2018), Zone 1, 2050 High, 5-min</t>
  </si>
  <si>
    <t>MV (2018), Zone 1, 2050 High, 10-min</t>
  </si>
  <si>
    <t>MV (2018), Zone 1, 2050 High, 15-min</t>
  </si>
  <si>
    <t>MV (2018), Zone 1, 2050 High, 30-min</t>
  </si>
  <si>
    <t>MV (2018), Zone 1, 2050 High, 1-hr</t>
  </si>
  <si>
    <t>MV (2018), Zone 1, 2050 High, 2-hr</t>
  </si>
  <si>
    <t>MV (2018), Zone 1, 2050 High, 6-hr</t>
  </si>
  <si>
    <t>MV (2018), Zone 1, 2050 High, 12-hr</t>
  </si>
  <si>
    <t>MV (2018), Zone 1, 2050 High, 24-hr</t>
  </si>
  <si>
    <t>MV (2018), Zone 1, 2100 Moderate, 5-min</t>
  </si>
  <si>
    <t>MV (2018), Zone 1, 2100 Moderate, 10-min</t>
  </si>
  <si>
    <t>MV (2018), Zone 1, 2100 Moderate, 15-min</t>
  </si>
  <si>
    <t>MV (2018), Zone 1, 2100 Moderate, 30-min</t>
  </si>
  <si>
    <t>MV (2018), Zone 1, 2100 Moderate, 1-hr</t>
  </si>
  <si>
    <t>MV (2018), Zone 1, 2100 Moderate, 2-hr</t>
  </si>
  <si>
    <t>MV (2018), Zone 1, 2100 Moderate, 6-hr</t>
  </si>
  <si>
    <t>MV (2018), Zone 1, 2100 Moderate, 12-hr</t>
  </si>
  <si>
    <t>MV (2018), Zone 1, 2100 Moderate, 24-hr</t>
  </si>
  <si>
    <t>MV (2018), Zone 1, 2100 High, 5-min</t>
  </si>
  <si>
    <t>MV (2018), Zone 1, 2100 High, 10-min</t>
  </si>
  <si>
    <t>MV (2018), Zone 1, 2100 High, 15-min</t>
  </si>
  <si>
    <t>MV (2018), Zone 1, 2100 High, 30-min</t>
  </si>
  <si>
    <t>MV (2018), Zone 1, 2100 High, 1-hr</t>
  </si>
  <si>
    <t>MV (2018), Zone 1, 2100 High, 2-hr</t>
  </si>
  <si>
    <t>MV (2018), Zone 1, 2100 High, 6-hr</t>
  </si>
  <si>
    <t>MV (2018), Zone 1, 2100 High, 12-hr</t>
  </si>
  <si>
    <t>MV (2018), Zone 1, 2100 High, 24-hr</t>
  </si>
  <si>
    <t>MV (2018), Zone 4, Current, 5-min</t>
  </si>
  <si>
    <t>MV (2018), Zone 4, Current, 10-min</t>
  </si>
  <si>
    <t>MV (2018), Zone 4, Current, 15-min</t>
  </si>
  <si>
    <t>MV (2018), Zone 4, Current, 30-min</t>
  </si>
  <si>
    <t>MV (2018), Zone 4, Current, 1-hr</t>
  </si>
  <si>
    <t>MV (2018), Zone 4, Current, 2-hr</t>
  </si>
  <si>
    <t>MV (2018), Zone 4, Current, 6-hr</t>
  </si>
  <si>
    <t>MV (2018), Zone 4, Current, 12-hr</t>
  </si>
  <si>
    <t>MV (2018), Zone 4, Current, 24-hr</t>
  </si>
  <si>
    <t>MV (2018), Zone 4, 2050 Moderate, 5-min</t>
  </si>
  <si>
    <t>MV (2018), Zone 4, 2050 Moderate, 10-min</t>
  </si>
  <si>
    <t>MV (2018), Zone 4, 2050 Moderate, 15-min</t>
  </si>
  <si>
    <t>MV (2018), Zone 4, 2050 Moderate, 30-min</t>
  </si>
  <si>
    <t>MV (2018), Zone 4, 2050 Moderate, 1-hr</t>
  </si>
  <si>
    <t>MV (2018), Zone 4, 2050 Moderate, 2-hr</t>
  </si>
  <si>
    <t>MV (2018), Zone 4, 2050 Moderate, 6-hr</t>
  </si>
  <si>
    <t>MV (2018), Zone 4, 2050 Moderate, 12-hr</t>
  </si>
  <si>
    <t>MV (2018), Zone 4, 2050 Moderate, 24-hr</t>
  </si>
  <si>
    <t>MV (2018), Zone 4, 2050 High, 5-min</t>
  </si>
  <si>
    <t>MV (2018), Zone 4, 2050 High, 10-min</t>
  </si>
  <si>
    <t>MV (2018), Zone 4, 2050 High, 15-min</t>
  </si>
  <si>
    <t>MV (2018), Zone 4, 2050 High, 30-min</t>
  </si>
  <si>
    <t>MV (2018), Zone 4, 2050 High, 1-hr</t>
  </si>
  <si>
    <t>MV (2018), Zone 4, 2050 High, 2-hr</t>
  </si>
  <si>
    <t>MV (2018), Zone 4, 2050 High, 6-hr</t>
  </si>
  <si>
    <t>MV (2018), Zone 4, 2050 High, 12-hr</t>
  </si>
  <si>
    <t>MV (2018), Zone 4, 2050 High, 24-hr</t>
  </si>
  <si>
    <t>MV (2018), Zone 4, 2100 Moderate, 5-min</t>
  </si>
  <si>
    <t>MV (2018), Zone 4, 2100 Moderate, 10-min</t>
  </si>
  <si>
    <t>MV (2018), Zone 4, 2100 Moderate, 15-min</t>
  </si>
  <si>
    <t>MV (2018), Zone 4, 2100 Moderate, 30-min</t>
  </si>
  <si>
    <t>MV (2018), Zone 4, 2100 Moderate, 1-hr</t>
  </si>
  <si>
    <t>MV (2018), Zone 4, 2100 Moderate, 2-hr</t>
  </si>
  <si>
    <t>MV (2018), Zone 4, 2100 Moderate, 6-hr</t>
  </si>
  <si>
    <t>MV (2018), Zone 4, 2100 Moderate, 12-hr</t>
  </si>
  <si>
    <t>MV (2018), Zone 4, 2100 Moderate, 24-hr</t>
  </si>
  <si>
    <t>MV (2018), Zone 4, 2100 High, 5-min</t>
  </si>
  <si>
    <t>MV (2018), Zone 4, 2100 High, 10-min</t>
  </si>
  <si>
    <t>MV (2018), Zone 4, 2100 High, 15-min</t>
  </si>
  <si>
    <t>MV (2018), Zone 4, 2100 High, 30-min</t>
  </si>
  <si>
    <t>MV (2018), Zone 4, 2100 High, 1-hr</t>
  </si>
  <si>
    <t>MV (2018), Zone 4, 2100 High, 2-hr</t>
  </si>
  <si>
    <t>MV (2018), Zone 4, 2100 High, 6-hr</t>
  </si>
  <si>
    <t>MV (2018), Zone 4, 2100 High, 12-hr</t>
  </si>
  <si>
    <t>MV (2018), Zone 4, 2100 High, 24-hr</t>
  </si>
  <si>
    <t>MV (2018), Zone 5, Current, 5-min</t>
  </si>
  <si>
    <t>MV (2018), Zone 5, Current, 10-min</t>
  </si>
  <si>
    <t>MV (2018), Zone 5, Current, 15-min</t>
  </si>
  <si>
    <t>MV (2018), Zone 5, Current, 30-min</t>
  </si>
  <si>
    <t>MV (2018), Zone 5, Current, 1-hr</t>
  </si>
  <si>
    <t>MV (2018), Zone 5, Current, 2-hr</t>
  </si>
  <si>
    <t>MV (2018), Zone 5, Current, 6-hr</t>
  </si>
  <si>
    <t>MV (2018), Zone 5, Current, 12-hr</t>
  </si>
  <si>
    <t>MV (2018), Zone 5, Current, 24-hr</t>
  </si>
  <si>
    <t>MV (2018), Zone 5, 2050 Moderate, 5-min</t>
  </si>
  <si>
    <t>MV (2018), Zone 5, 2050 Moderate, 10-min</t>
  </si>
  <si>
    <t>MV (2018), Zone 5, 2050 Moderate, 15-min</t>
  </si>
  <si>
    <t>MV (2018), Zone 5, 2050 Moderate, 30-min</t>
  </si>
  <si>
    <t>MV (2018), Zone 5, 2050 Moderate, 1-hr</t>
  </si>
  <si>
    <t>MV (2018), Zone 5, 2050 Moderate, 2-hr</t>
  </si>
  <si>
    <t>MV (2018), Zone 5, 2050 Moderate, 6-hr</t>
  </si>
  <si>
    <t>MV (2018), Zone 5, 2050 Moderate, 12-hr</t>
  </si>
  <si>
    <t>MV (2018), Zone 5, 2050 Moderate, 24-hr</t>
  </si>
  <si>
    <t>MV (2018), Zone 5, 2050 High, 5-min</t>
  </si>
  <si>
    <t>MV (2018), Zone 5, 2050 High, 10-min</t>
  </si>
  <si>
    <t>MV (2018), Zone 5, 2050 High, 15-min</t>
  </si>
  <si>
    <t>MV (2018), Zone 5, 2050 High, 30-min</t>
  </si>
  <si>
    <t>MV (2018), Zone 5, 2050 High, 1-hr</t>
  </si>
  <si>
    <t>MV (2018), Zone 5, 2050 High, 2-hr</t>
  </si>
  <si>
    <t>MV (2018), Zone 5, 2050 High, 6-hr</t>
  </si>
  <si>
    <t>MV (2018), Zone 5, 2050 High, 12-hr</t>
  </si>
  <si>
    <t>MV (2018), Zone 5, 2050 High, 24-hr</t>
  </si>
  <si>
    <t>MV (2018), Zone 5, 2100 Moderate, 5-min</t>
  </si>
  <si>
    <t>MV (2018), Zone 5, 2100 Moderate, 10-min</t>
  </si>
  <si>
    <t>MV (2018), Zone 5, 2100 Moderate, 15-min</t>
  </si>
  <si>
    <t>MV (2018), Zone 5, 2100 Moderate, 30-min</t>
  </si>
  <si>
    <t>MV (2018), Zone 5, 2100 Moderate, 1-hr</t>
  </si>
  <si>
    <t>MV (2018), Zone 5, 2100 Moderate, 2-hr</t>
  </si>
  <si>
    <t>MV (2018), Zone 5, 2100 Moderate, 6-hr</t>
  </si>
  <si>
    <t>MV (2018), Zone 5, 2100 Moderate, 12-hr</t>
  </si>
  <si>
    <t>MV (2018), Zone 5, 2100 Moderate, 24-hr</t>
  </si>
  <si>
    <t>MV (2018), Zone 5, 2100 High, 5-min</t>
  </si>
  <si>
    <t>MV (2018), Zone 5, 2100 High, 10-min</t>
  </si>
  <si>
    <t>MV (2018), Zone 5, 2100 High, 15-min</t>
  </si>
  <si>
    <t>MV (2018), Zone 5, 2100 High, 30-min</t>
  </si>
  <si>
    <t>MV (2018), Zone 5, 2100 High, 1-hr</t>
  </si>
  <si>
    <t>MV (2018), Zone 5, 2100 High, 2-hr</t>
  </si>
  <si>
    <t>MV (2018), Zone 5, 2100 High, 6-hr</t>
  </si>
  <si>
    <t>MV (2018), Zone 5, 2100 High, 12-hr</t>
  </si>
  <si>
    <t>MV (2018), Zone 5, 2100 High, 24-hr</t>
  </si>
  <si>
    <t>Zone 4</t>
  </si>
  <si>
    <t>AES 1-hr (COV) Absolute</t>
  </si>
  <si>
    <t>Huff 1st 1-hr Absolute</t>
  </si>
  <si>
    <t>Chicago 1-hr Absolute</t>
  </si>
  <si>
    <t>AES 2-hr (COV) Absolute</t>
  </si>
  <si>
    <t>Huff 1st 2-hr Absolute</t>
  </si>
  <si>
    <t>Chicago 2-hr Absolute</t>
  </si>
  <si>
    <t>AES 6-hr (COV) Absolute</t>
  </si>
  <si>
    <t>Huff 1st 6-hr Absolute</t>
  </si>
  <si>
    <t>Huff 2nd 6-hr Absolute</t>
  </si>
  <si>
    <t>Chicago 6-hr Absolute</t>
  </si>
  <si>
    <t>AES 12-hr Absolute</t>
  </si>
  <si>
    <t>Huff 2nd 12-hr Absolute</t>
  </si>
  <si>
    <t>Huff 3rd 12-hr Absolute</t>
  </si>
  <si>
    <t>Chicago 12-hr Absolute</t>
  </si>
  <si>
    <t>SCS Type 1A 12-hr (Rounded) Absolute</t>
  </si>
  <si>
    <t>SCS Type 1A 24-hr (COV) Absolute</t>
  </si>
  <si>
    <t>SCS Type 1A 24-hr (Rounded) Absolute</t>
  </si>
  <si>
    <t>Huff 3rd 24-hr Absolute</t>
  </si>
  <si>
    <t>Huff 4th 24-hr Absolute</t>
  </si>
  <si>
    <t>AES 12-hr 24-hr Absolute</t>
  </si>
  <si>
    <t>SPU 24-hr Absolute</t>
  </si>
  <si>
    <t>*AES 1-hr BC Coast (2-hr) Absolute</t>
  </si>
  <si>
    <t>*SCS Type 1A 24-hr (Unrounded) Absolute</t>
  </si>
  <si>
    <t>1-hr Distribution</t>
  </si>
  <si>
    <t>2-hr Distribution</t>
  </si>
  <si>
    <t>6-hr Distribution</t>
  </si>
  <si>
    <t>12-hr Distribution</t>
  </si>
  <si>
    <t>24-hr Distribution</t>
  </si>
  <si>
    <t>Huff 1st 1-hr</t>
  </si>
  <si>
    <t>Chicago 1-hr</t>
  </si>
  <si>
    <t>*AES 1-hr BC Coast (2-hr)</t>
  </si>
  <si>
    <t>AES 2-hr (COV)</t>
  </si>
  <si>
    <t>Huff 1st 2-hr</t>
  </si>
  <si>
    <t>Chicago 2-hr</t>
  </si>
  <si>
    <t>AES 6-hr (COV)</t>
  </si>
  <si>
    <t>Huff 1st 6-hr</t>
  </si>
  <si>
    <t>Huff 2nd 6-hr</t>
  </si>
  <si>
    <t>Chicago 6-hr</t>
  </si>
  <si>
    <t>AES 12-hr</t>
  </si>
  <si>
    <t>Huff 2nd 12-hr</t>
  </si>
  <si>
    <t>Huff 3rd 12-hr</t>
  </si>
  <si>
    <t>Chicago 12-hr</t>
  </si>
  <si>
    <t>SCS Type 1A 12-hr (Rounded)</t>
  </si>
  <si>
    <t>*SCS Type 1A 24-hr (Unrounded)</t>
  </si>
  <si>
    <t>SCS Type 1A 24-hr (COV)</t>
  </si>
  <si>
    <t>SCS Type 1A 24-hr (Rounded)</t>
  </si>
  <si>
    <t>Huff 3rd 24-hr</t>
  </si>
  <si>
    <t>Huff 4th 24-hr</t>
  </si>
  <si>
    <t>AES 12-hr 24-hr</t>
  </si>
  <si>
    <t>SPU 24-hr</t>
  </si>
  <si>
    <t>To Copy?</t>
  </si>
  <si>
    <t>Absolute (mm)</t>
  </si>
  <si>
    <t>Time (hh:mm)</t>
  </si>
  <si>
    <t>*AES 1-hr BC Coast Absolute</t>
  </si>
  <si>
    <t>*AES 1-hr BC Coast</t>
  </si>
  <si>
    <t>AES 1-hr (COV)</t>
  </si>
  <si>
    <t>No Distribution</t>
  </si>
  <si>
    <t>mm/hr</t>
  </si>
  <si>
    <t>hours</t>
  </si>
  <si>
    <t>Total Depth</t>
  </si>
  <si>
    <t>SCS Type 1A 12-hr (Unounded) Absolute</t>
  </si>
  <si>
    <t>SCS Type 1A 12-hr (Unounded)</t>
  </si>
  <si>
    <t>SCS Type 1A 6-hr (Rounded) Absolute</t>
  </si>
  <si>
    <t>SCS Type 1A 6-hr (Unrounded) Absolute</t>
  </si>
  <si>
    <t>SCS Type 1A 6-hr (Rounded)</t>
  </si>
  <si>
    <t>SCS Type 1A 6-hr (Unrounded)</t>
  </si>
  <si>
    <t>mm</t>
  </si>
  <si>
    <t>Sheet Password</t>
  </si>
  <si>
    <t>password</t>
  </si>
  <si>
    <t>Workbook Password</t>
  </si>
  <si>
    <t>IDF</t>
  </si>
  <si>
    <t>Name:</t>
  </si>
  <si>
    <t>ISDP Design Storm Generator</t>
  </si>
  <si>
    <t>Status:</t>
  </si>
  <si>
    <t>Draft - Internal ISDP Use Only</t>
  </si>
  <si>
    <t>Date</t>
  </si>
  <si>
    <t>Editor</t>
  </si>
  <si>
    <t>Changes</t>
  </si>
  <si>
    <t>Revision Log</t>
  </si>
  <si>
    <t>Sean Geyer, P.Eng.</t>
  </si>
  <si>
    <t>Created by:</t>
  </si>
  <si>
    <t>Created on:</t>
  </si>
  <si>
    <t>Notes:</t>
  </si>
  <si>
    <t>Differences may exist between pending design manual changes and values provided by this tool due to differences in rounding.</t>
  </si>
  <si>
    <t>Final responsibility for the design storms generated by this tool lies with the end-user. Ensure the output makes sense before use.</t>
  </si>
  <si>
    <t>MV IDF curves should be updated using representative index rain values from within the City boundary. Do not rely on the currently loaded MV IDFs.</t>
  </si>
  <si>
    <t>Updates:</t>
  </si>
  <si>
    <t>2) Unhide the "dropdowns" tab</t>
  </si>
  <si>
    <t>3) To add an disribution, insert a column and add the data as appropriate -&gt; add the distribution name in the dropdown lists -&gt; update the data validation lists and ensure the lookup ranges extend to the distribution data extents</t>
  </si>
  <si>
    <t>4) To update IDF curves simply change the values. Shouldn't be too many cases of needing to add new IDFs.</t>
  </si>
  <si>
    <t>1) Unprotect all sheets</t>
  </si>
  <si>
    <t>5) Hide the dropdowns tab</t>
  </si>
  <si>
    <t>6) Protect the sheets</t>
  </si>
  <si>
    <t>Avg. Intensity (mm/hr)</t>
  </si>
  <si>
    <t>Total Depth (mm)</t>
  </si>
  <si>
    <t>Units</t>
  </si>
  <si>
    <t>Depth (mm)</t>
  </si>
  <si>
    <t>Sheet password</t>
  </si>
  <si>
    <t>SG</t>
  </si>
  <si>
    <t>Added bulk tool to create design storms for all return periods for a given duration and horizon</t>
  </si>
  <si>
    <t>To export to .dat file:</t>
  </si>
  <si>
    <t>Click the button above, or enter shortcut Ctrl + Shift + E.</t>
  </si>
  <si>
    <t>Timeseries will be created as .dat file in specified folder.</t>
  </si>
  <si>
    <t>Export to .dat</t>
  </si>
  <si>
    <r>
      <t xml:space="preserve"> (Click button, or enter </t>
    </r>
    <r>
      <rPr>
        <i/>
        <sz val="10"/>
        <color rgb="FFC00000"/>
        <rFont val="Calibri"/>
        <family val="2"/>
        <scheme val="minor"/>
      </rPr>
      <t>Ctrl + Shift + B )</t>
    </r>
  </si>
  <si>
    <t>KZ</t>
  </si>
  <si>
    <t>Added macros written in August / September to export PCSWMM format DAT files, created new macro (DRAFT) to export ICM format CSV files</t>
  </si>
  <si>
    <t>Regarding usage of the macros:</t>
  </si>
  <si>
    <r>
      <t xml:space="preserve">1) Red, black, and blue arrows are all for imports to </t>
    </r>
    <r>
      <rPr>
        <b/>
        <u/>
        <sz val="11"/>
        <color theme="1"/>
        <rFont val="Calibri"/>
        <family val="2"/>
        <scheme val="minor"/>
      </rPr>
      <t>PCSWMM</t>
    </r>
    <r>
      <rPr>
        <sz val="11"/>
        <color theme="1"/>
        <rFont val="Calibri"/>
        <family val="2"/>
        <scheme val="minor"/>
      </rPr>
      <t xml:space="preserve">: DAT file(s) will be created. </t>
    </r>
  </si>
  <si>
    <r>
      <t xml:space="preserve">2) Green arrows are for imports to </t>
    </r>
    <r>
      <rPr>
        <b/>
        <u/>
        <sz val="11"/>
        <color theme="1"/>
        <rFont val="Calibri"/>
        <family val="2"/>
        <scheme val="minor"/>
      </rPr>
      <t>ICM</t>
    </r>
    <r>
      <rPr>
        <sz val="11"/>
        <color theme="1"/>
        <rFont val="Calibri"/>
        <family val="2"/>
        <scheme val="minor"/>
      </rPr>
      <t>: ICM-formatted CSV file(s) will be created.</t>
    </r>
  </si>
  <si>
    <t xml:space="preserve">** Macros have been tested with limited scenarios and errors may persist (contact Kira Zulauf if any issues arise). </t>
  </si>
  <si>
    <t>[Folder picker]</t>
  </si>
  <si>
    <t xml:space="preserve">Red - select folder for exported file(s), black - paste folder path (both create relative relative time file(s) with no date). </t>
  </si>
  <si>
    <t>Blue - select folder and specify input start date &amp; time, creates file(s) with absolute date.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</si>
</sst>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0"/>
    <numFmt numFmtId="167" formatCode="h:mm;@"/>
  </numFmts>
  <fonts count="2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rgb="FFFFFFFF"/>
      <name val="Arial"/>
      <family val="2"/>
    </font>
    <font>
      <sz val="9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i/>
      <sz val="11"/>
      <color theme="9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i/>
      <sz val="10"/>
      <color rgb="FFC0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4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medium">
        <color rgb="FFA2A2A2"/>
      </right>
      <top/>
      <bottom style="medium">
        <color rgb="FFA2A2A2"/>
      </bottom>
      <diagonal/>
    </border>
    <border>
      <left/>
      <right style="medium">
        <color rgb="FFA2A2A2"/>
      </right>
      <top/>
      <bottom style="medium">
        <color rgb="FFA2A2A2"/>
      </bottom>
      <diagonal/>
    </border>
    <border>
      <left style="thin">
        <color indexed="64"/>
      </left>
      <right style="medium">
        <color rgb="FFA2A2A2"/>
      </right>
      <top/>
      <bottom/>
      <diagonal/>
    </border>
    <border>
      <left/>
      <right style="medium">
        <color rgb="FFA2A2A2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A2A2A2"/>
      </right>
      <top/>
      <bottom style="thin">
        <color indexed="64"/>
      </bottom>
      <diagonal/>
    </border>
    <border>
      <left/>
      <right style="medium">
        <color rgb="FFA2A2A2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1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2" borderId="3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4" fillId="2" borderId="5" xfId="0" applyFont="1" applyFill="1" applyBorder="1" applyAlignment="1">
      <alignment vertical="center"/>
    </xf>
    <xf numFmtId="0" fontId="0" fillId="0" borderId="0" xfId="0" applyAlignment="1"/>
    <xf numFmtId="2" fontId="5" fillId="0" borderId="1" xfId="0" applyNumberFormat="1" applyFont="1" applyBorder="1" applyAlignment="1">
      <alignment vertical="center"/>
    </xf>
    <xf numFmtId="2" fontId="5" fillId="0" borderId="2" xfId="0" applyNumberFormat="1" applyFont="1" applyBorder="1" applyAlignment="1">
      <alignment vertical="center"/>
    </xf>
    <xf numFmtId="165" fontId="5" fillId="0" borderId="2" xfId="0" applyNumberFormat="1" applyFont="1" applyBorder="1" applyAlignment="1">
      <alignment vertical="center"/>
    </xf>
    <xf numFmtId="2" fontId="5" fillId="0" borderId="7" xfId="0" applyNumberFormat="1" applyFont="1" applyBorder="1" applyAlignment="1">
      <alignment vertical="center"/>
    </xf>
    <xf numFmtId="2" fontId="5" fillId="0" borderId="8" xfId="0" applyNumberFormat="1" applyFont="1" applyBorder="1" applyAlignment="1">
      <alignment vertical="center"/>
    </xf>
    <xf numFmtId="0" fontId="0" fillId="0" borderId="6" xfId="0" applyBorder="1" applyAlignment="1">
      <alignment horizontal="center"/>
    </xf>
    <xf numFmtId="167" fontId="0" fillId="0" borderId="10" xfId="0" applyNumberFormat="1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0" fontId="6" fillId="3" borderId="14" xfId="0" applyFont="1" applyFill="1" applyBorder="1" applyAlignment="1">
      <alignment horizontal="center"/>
    </xf>
    <xf numFmtId="164" fontId="0" fillId="3" borderId="15" xfId="0" applyNumberFormat="1" applyFill="1" applyBorder="1" applyAlignment="1">
      <alignment horizontal="center"/>
    </xf>
    <xf numFmtId="164" fontId="0" fillId="3" borderId="16" xfId="0" applyNumberFormat="1" applyFill="1" applyBorder="1" applyAlignment="1">
      <alignment horizontal="center"/>
    </xf>
    <xf numFmtId="164" fontId="0" fillId="3" borderId="18" xfId="0" applyNumberFormat="1" applyFill="1" applyBorder="1" applyAlignment="1">
      <alignment horizontal="center"/>
    </xf>
    <xf numFmtId="49" fontId="6" fillId="0" borderId="21" xfId="0" applyNumberFormat="1" applyFont="1" applyBorder="1" applyAlignment="1">
      <alignment horizontal="center"/>
    </xf>
    <xf numFmtId="167" fontId="0" fillId="0" borderId="26" xfId="0" applyNumberFormat="1" applyBorder="1" applyAlignment="1">
      <alignment horizontal="center"/>
    </xf>
    <xf numFmtId="167" fontId="0" fillId="0" borderId="27" xfId="0" applyNumberForma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29" xfId="0" applyNumberFormat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0" fontId="6" fillId="3" borderId="33" xfId="0" applyFont="1" applyFill="1" applyBorder="1" applyAlignment="1">
      <alignment horizontal="center"/>
    </xf>
    <xf numFmtId="164" fontId="0" fillId="3" borderId="34" xfId="0" applyNumberFormat="1" applyFill="1" applyBorder="1" applyAlignment="1">
      <alignment horizontal="center"/>
    </xf>
    <xf numFmtId="164" fontId="0" fillId="3" borderId="11" xfId="0" applyNumberFormat="1" applyFill="1" applyBorder="1" applyAlignment="1">
      <alignment horizontal="center"/>
    </xf>
    <xf numFmtId="164" fontId="0" fillId="3" borderId="12" xfId="0" applyNumberFormat="1" applyFill="1" applyBorder="1" applyAlignment="1">
      <alignment horizontal="center"/>
    </xf>
    <xf numFmtId="0" fontId="6" fillId="0" borderId="14" xfId="0" applyFont="1" applyBorder="1" applyAlignment="1">
      <alignment horizontal="center"/>
    </xf>
    <xf numFmtId="164" fontId="0" fillId="0" borderId="23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5" xfId="0" applyNumberFormat="1" applyBorder="1" applyAlignment="1">
      <alignment horizontal="center"/>
    </xf>
    <xf numFmtId="164" fontId="0" fillId="0" borderId="34" xfId="0" applyNumberFormat="1" applyFill="1" applyBorder="1" applyAlignment="1">
      <alignment horizontal="center"/>
    </xf>
    <xf numFmtId="164" fontId="0" fillId="0" borderId="11" xfId="0" applyNumberFormat="1" applyFill="1" applyBorder="1" applyAlignment="1">
      <alignment horizontal="center"/>
    </xf>
    <xf numFmtId="164" fontId="0" fillId="0" borderId="12" xfId="0" applyNumberForma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164" fontId="0" fillId="0" borderId="26" xfId="0" applyNumberFormat="1" applyFill="1" applyBorder="1" applyAlignment="1">
      <alignment horizontal="center"/>
    </xf>
    <xf numFmtId="164" fontId="0" fillId="0" borderId="27" xfId="0" applyNumberFormat="1" applyFill="1" applyBorder="1" applyAlignment="1">
      <alignment horizontal="center"/>
    </xf>
    <xf numFmtId="164" fontId="0" fillId="0" borderId="28" xfId="0" applyNumberFormat="1" applyFill="1" applyBorder="1" applyAlignment="1">
      <alignment horizontal="center"/>
    </xf>
    <xf numFmtId="0" fontId="6" fillId="0" borderId="9" xfId="0" applyFont="1" applyFill="1" applyBorder="1" applyAlignment="1">
      <alignment horizontal="center"/>
    </xf>
    <xf numFmtId="164" fontId="0" fillId="0" borderId="35" xfId="0" applyNumberFormat="1" applyFill="1" applyBorder="1" applyAlignment="1">
      <alignment horizontal="center"/>
    </xf>
    <xf numFmtId="164" fontId="0" fillId="0" borderId="32" xfId="0" applyNumberFormat="1" applyFill="1" applyBorder="1" applyAlignment="1">
      <alignment horizontal="center"/>
    </xf>
    <xf numFmtId="164" fontId="0" fillId="0" borderId="36" xfId="0" applyNumberFormat="1" applyFill="1" applyBorder="1" applyAlignment="1">
      <alignment horizontal="center"/>
    </xf>
    <xf numFmtId="0" fontId="6" fillId="0" borderId="14" xfId="0" applyFont="1" applyFill="1" applyBorder="1" applyAlignment="1">
      <alignment horizontal="center"/>
    </xf>
    <xf numFmtId="164" fontId="0" fillId="0" borderId="15" xfId="0" applyNumberFormat="1" applyFill="1" applyBorder="1" applyAlignment="1">
      <alignment horizontal="center"/>
    </xf>
    <xf numFmtId="164" fontId="0" fillId="0" borderId="16" xfId="0" applyNumberFormat="1" applyFill="1" applyBorder="1" applyAlignment="1">
      <alignment horizontal="center"/>
    </xf>
    <xf numFmtId="164" fontId="0" fillId="0" borderId="18" xfId="0" applyNumberFormat="1" applyFill="1" applyBorder="1" applyAlignment="1">
      <alignment horizontal="center"/>
    </xf>
    <xf numFmtId="164" fontId="0" fillId="0" borderId="32" xfId="0" applyNumberFormat="1" applyBorder="1" applyAlignment="1">
      <alignment horizontal="center"/>
    </xf>
    <xf numFmtId="164" fontId="0" fillId="0" borderId="27" xfId="0" applyNumberFormat="1" applyBorder="1" applyAlignment="1">
      <alignment horizontal="center"/>
    </xf>
    <xf numFmtId="164" fontId="0" fillId="0" borderId="28" xfId="0" applyNumberFormat="1" applyBorder="1" applyAlignment="1">
      <alignment horizontal="center"/>
    </xf>
    <xf numFmtId="164" fontId="0" fillId="0" borderId="38" xfId="0" applyNumberFormat="1" applyBorder="1" applyAlignment="1">
      <alignment horizontal="center"/>
    </xf>
    <xf numFmtId="164" fontId="0" fillId="0" borderId="39" xfId="0" applyNumberFormat="1" applyBorder="1" applyAlignment="1">
      <alignment horizontal="center"/>
    </xf>
    <xf numFmtId="164" fontId="0" fillId="0" borderId="40" xfId="0" applyNumberFormat="1" applyBorder="1" applyAlignment="1">
      <alignment horizontal="center"/>
    </xf>
    <xf numFmtId="0" fontId="0" fillId="0" borderId="26" xfId="0" applyBorder="1" applyAlignment="1">
      <alignment horizontal="center"/>
    </xf>
    <xf numFmtId="0" fontId="1" fillId="0" borderId="0" xfId="0" applyFont="1"/>
    <xf numFmtId="0" fontId="3" fillId="0" borderId="0" xfId="0" applyFont="1" applyAlignment="1">
      <alignment horizontal="center"/>
    </xf>
    <xf numFmtId="2" fontId="0" fillId="0" borderId="6" xfId="0" applyNumberFormat="1" applyBorder="1" applyAlignment="1">
      <alignment horizontal="center"/>
    </xf>
    <xf numFmtId="0" fontId="2" fillId="0" borderId="29" xfId="0" applyFont="1" applyBorder="1"/>
    <xf numFmtId="0" fontId="2" fillId="0" borderId="30" xfId="0" applyFont="1" applyBorder="1"/>
    <xf numFmtId="0" fontId="2" fillId="0" borderId="31" xfId="0" applyFont="1" applyBorder="1"/>
    <xf numFmtId="167" fontId="0" fillId="0" borderId="16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167" fontId="0" fillId="0" borderId="18" xfId="0" applyNumberFormat="1" applyBorder="1" applyAlignment="1">
      <alignment horizontal="center"/>
    </xf>
    <xf numFmtId="2" fontId="0" fillId="0" borderId="19" xfId="0" applyNumberForma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49" fontId="7" fillId="4" borderId="21" xfId="0" applyNumberFormat="1" applyFont="1" applyFill="1" applyBorder="1" applyAlignment="1">
      <alignment horizontal="center"/>
    </xf>
    <xf numFmtId="0" fontId="7" fillId="4" borderId="22" xfId="0" applyFont="1" applyFill="1" applyBorder="1" applyAlignment="1">
      <alignment horizontal="center"/>
    </xf>
    <xf numFmtId="0" fontId="7" fillId="4" borderId="13" xfId="0" applyFont="1" applyFill="1" applyBorder="1" applyAlignment="1">
      <alignment horizontal="center"/>
    </xf>
    <xf numFmtId="0" fontId="7" fillId="4" borderId="37" xfId="0" applyFont="1" applyFill="1" applyBorder="1" applyAlignment="1">
      <alignment horizontal="center"/>
    </xf>
    <xf numFmtId="0" fontId="7" fillId="4" borderId="21" xfId="0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5" fontId="0" fillId="0" borderId="19" xfId="0" applyNumberFormat="1" applyBorder="1" applyAlignment="1">
      <alignment horizontal="center"/>
    </xf>
    <xf numFmtId="0" fontId="1" fillId="4" borderId="29" xfId="0" applyFont="1" applyFill="1" applyBorder="1"/>
    <xf numFmtId="0" fontId="1" fillId="4" borderId="16" xfId="0" applyFont="1" applyFill="1" applyBorder="1"/>
    <xf numFmtId="0" fontId="1" fillId="4" borderId="18" xfId="0" applyFont="1" applyFill="1" applyBorder="1"/>
    <xf numFmtId="0" fontId="6" fillId="0" borderId="31" xfId="0" applyFont="1" applyBorder="1"/>
    <xf numFmtId="0" fontId="6" fillId="0" borderId="17" xfId="0" applyFont="1" applyBorder="1"/>
    <xf numFmtId="0" fontId="6" fillId="0" borderId="20" xfId="0" applyFont="1" applyBorder="1"/>
    <xf numFmtId="0" fontId="1" fillId="4" borderId="29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1" fillId="4" borderId="31" xfId="0" applyFont="1" applyFill="1" applyBorder="1" applyAlignment="1">
      <alignment horizontal="center"/>
    </xf>
    <xf numFmtId="166" fontId="0" fillId="0" borderId="15" xfId="0" applyNumberFormat="1" applyFill="1" applyBorder="1" applyAlignment="1">
      <alignment horizontal="center"/>
    </xf>
    <xf numFmtId="166" fontId="0" fillId="0" borderId="16" xfId="0" applyNumberFormat="1" applyFill="1" applyBorder="1" applyAlignment="1">
      <alignment horizontal="center"/>
    </xf>
    <xf numFmtId="166" fontId="0" fillId="0" borderId="18" xfId="0" applyNumberFormat="1" applyFill="1" applyBorder="1" applyAlignment="1">
      <alignment horizontal="center"/>
    </xf>
    <xf numFmtId="0" fontId="0" fillId="0" borderId="21" xfId="0" applyFont="1" applyFill="1" applyBorder="1" applyAlignment="1">
      <alignment horizontal="center"/>
    </xf>
    <xf numFmtId="164" fontId="0" fillId="0" borderId="42" xfId="0" applyNumberFormat="1" applyFill="1" applyBorder="1" applyAlignment="1">
      <alignment horizontal="center"/>
    </xf>
    <xf numFmtId="0" fontId="6" fillId="0" borderId="41" xfId="0" applyFont="1" applyFill="1" applyBorder="1" applyAlignment="1">
      <alignment horizontal="center"/>
    </xf>
    <xf numFmtId="164" fontId="0" fillId="0" borderId="43" xfId="0" applyNumberFormat="1" applyFill="1" applyBorder="1" applyAlignment="1">
      <alignment horizontal="center"/>
    </xf>
    <xf numFmtId="164" fontId="0" fillId="0" borderId="44" xfId="0" applyNumberFormat="1" applyFill="1" applyBorder="1" applyAlignment="1">
      <alignment horizontal="center"/>
    </xf>
    <xf numFmtId="0" fontId="4" fillId="2" borderId="0" xfId="0" applyFont="1" applyFill="1" applyBorder="1" applyAlignment="1">
      <alignment vertical="center"/>
    </xf>
    <xf numFmtId="0" fontId="8" fillId="0" borderId="0" xfId="0" applyFont="1"/>
    <xf numFmtId="0" fontId="8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0" fillId="0" borderId="18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2" fillId="0" borderId="45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/>
    </xf>
    <xf numFmtId="0" fontId="2" fillId="0" borderId="0" xfId="0" applyFont="1"/>
    <xf numFmtId="15" fontId="0" fillId="0" borderId="0" xfId="0" applyNumberFormat="1"/>
    <xf numFmtId="0" fontId="0" fillId="0" borderId="6" xfId="0" applyBorder="1"/>
    <xf numFmtId="14" fontId="0" fillId="0" borderId="6" xfId="0" applyNumberFormat="1" applyBorder="1"/>
    <xf numFmtId="0" fontId="1" fillId="5" borderId="6" xfId="0" applyFont="1" applyFill="1" applyBorder="1"/>
    <xf numFmtId="0" fontId="0" fillId="0" borderId="0" xfId="0" applyFont="1"/>
    <xf numFmtId="0" fontId="6" fillId="0" borderId="0" xfId="0" applyFont="1"/>
    <xf numFmtId="0" fontId="12" fillId="0" borderId="0" xfId="0" applyFont="1"/>
    <xf numFmtId="0" fontId="12" fillId="0" borderId="0" xfId="0" applyFont="1" applyAlignment="1">
      <alignment horizontal="center"/>
    </xf>
    <xf numFmtId="0" fontId="13" fillId="0" borderId="0" xfId="0" applyFont="1"/>
    <xf numFmtId="0" fontId="1" fillId="4" borderId="6" xfId="0" applyFont="1" applyFill="1" applyBorder="1"/>
    <xf numFmtId="165" fontId="0" fillId="0" borderId="6" xfId="0" applyNumberForma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14" fillId="6" borderId="6" xfId="0" applyFont="1" applyFill="1" applyBorder="1" applyAlignment="1">
      <alignment horizontal="center"/>
    </xf>
    <xf numFmtId="0" fontId="3" fillId="0" borderId="0" xfId="0" applyFont="1"/>
    <xf numFmtId="0" fontId="7" fillId="7" borderId="6" xfId="0" applyFont="1" applyFill="1" applyBorder="1" applyAlignment="1">
      <alignment horizontal="center"/>
    </xf>
    <xf numFmtId="2" fontId="0" fillId="0" borderId="6" xfId="0" applyNumberFormat="1" applyFont="1" applyBorder="1" applyAlignment="1">
      <alignment horizontal="center"/>
    </xf>
    <xf numFmtId="49" fontId="7" fillId="4" borderId="47" xfId="0" applyNumberFormat="1" applyFont="1" applyFill="1" applyBorder="1" applyAlignment="1">
      <alignment horizontal="center" vertical="center"/>
    </xf>
    <xf numFmtId="0" fontId="7" fillId="4" borderId="44" xfId="0" applyFont="1" applyFill="1" applyBorder="1" applyAlignment="1">
      <alignment horizontal="center"/>
    </xf>
    <xf numFmtId="0" fontId="7" fillId="4" borderId="48" xfId="0" applyFont="1" applyFill="1" applyBorder="1" applyAlignment="1">
      <alignment horizontal="center"/>
    </xf>
    <xf numFmtId="49" fontId="7" fillId="4" borderId="46" xfId="0" applyNumberFormat="1" applyFont="1" applyFill="1" applyBorder="1" applyAlignment="1">
      <alignment horizontal="center" vertical="center"/>
    </xf>
    <xf numFmtId="0" fontId="7" fillId="4" borderId="45" xfId="0" applyFont="1" applyFill="1" applyBorder="1" applyAlignment="1">
      <alignment horizontal="center"/>
    </xf>
    <xf numFmtId="0" fontId="7" fillId="4" borderId="23" xfId="0" applyFont="1" applyFill="1" applyBorder="1" applyAlignment="1">
      <alignment horizontal="center"/>
    </xf>
    <xf numFmtId="167" fontId="0" fillId="0" borderId="6" xfId="0" applyNumberFormat="1" applyBorder="1" applyAlignment="1">
      <alignment horizontal="center"/>
    </xf>
    <xf numFmtId="0" fontId="0" fillId="0" borderId="45" xfId="0" applyBorder="1"/>
    <xf numFmtId="0" fontId="15" fillId="0" borderId="0" xfId="0" applyFont="1" applyAlignment="1">
      <alignment horizontal="center"/>
    </xf>
    <xf numFmtId="0" fontId="1" fillId="4" borderId="9" xfId="0" applyFont="1" applyFill="1" applyBorder="1" applyAlignment="1">
      <alignment horizontal="centerContinuous" wrapText="1"/>
    </xf>
    <xf numFmtId="0" fontId="1" fillId="4" borderId="49" xfId="0" applyFont="1" applyFill="1" applyBorder="1" applyAlignment="1">
      <alignment horizontal="centerContinuous" wrapText="1"/>
    </xf>
    <xf numFmtId="0" fontId="16" fillId="0" borderId="0" xfId="0" applyFont="1" applyAlignment="1" applyProtection="1">
      <alignment horizontal="centerContinuous"/>
      <protection locked="0"/>
    </xf>
    <xf numFmtId="0" fontId="0" fillId="0" borderId="0" xfId="0" applyAlignment="1">
      <alignment horizontal="centerContinuous"/>
    </xf>
    <xf numFmtId="0" fontId="16" fillId="0" borderId="0" xfId="0" applyFont="1" applyAlignment="1">
      <alignment horizontal="centerContinuous"/>
    </xf>
    <xf numFmtId="0" fontId="17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0" fontId="19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20" fillId="0" borderId="0" xfId="0" applyFont="1" applyAlignment="1">
      <alignment horizontal="left"/>
    </xf>
  </cellXfs>
  <cellStyles count="1">
    <cellStyle name="Normal" xfId="0" builtinId="0"/>
  </cellStyles>
  <dxfs count="7">
    <dxf>
      <font>
        <color auto="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rgb="FFFF7C80"/>
        </patternFill>
      </fill>
    </dxf>
    <dxf>
      <font>
        <color theme="0"/>
      </font>
    </dxf>
    <dxf>
      <font>
        <color auto="1"/>
      </font>
      <fill>
        <patternFill>
          <bgColor theme="9" tint="0.59996337778862885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Intensity (mm/hr)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Output!$A$2:$A$290</c:f>
              <c:numCache>
                <c:formatCode>h:mm;@</c:formatCode>
                <c:ptCount val="289"/>
                <c:pt idx="0">
                  <c:v>0</c:v>
                </c:pt>
                <c:pt idx="1">
                  <c:v>3.472222222222222E-3</c:v>
                </c:pt>
                <c:pt idx="2">
                  <c:v>6.9444444444444441E-3</c:v>
                </c:pt>
                <c:pt idx="3">
                  <c:v>1.0416666666666666E-2</c:v>
                </c:pt>
                <c:pt idx="4">
                  <c:v>1.3888888888888888E-2</c:v>
                </c:pt>
                <c:pt idx="5">
                  <c:v>1.7361111111111112E-2</c:v>
                </c:pt>
                <c:pt idx="6">
                  <c:v>2.0833333333333336E-2</c:v>
                </c:pt>
                <c:pt idx="7">
                  <c:v>2.4305555555555559E-2</c:v>
                </c:pt>
                <c:pt idx="8">
                  <c:v>2.7777777777777783E-2</c:v>
                </c:pt>
                <c:pt idx="9">
                  <c:v>3.1250000000000007E-2</c:v>
                </c:pt>
                <c:pt idx="10">
                  <c:v>3.4722222222222231E-2</c:v>
                </c:pt>
                <c:pt idx="11">
                  <c:v>3.8194444444444454E-2</c:v>
                </c:pt>
                <c:pt idx="12">
                  <c:v>4.1666666666666678E-2</c:v>
                </c:pt>
                <c:pt idx="13">
                  <c:v>4.5138888888888902E-2</c:v>
                </c:pt>
                <c:pt idx="14">
                  <c:v>4.8611111111111126E-2</c:v>
                </c:pt>
                <c:pt idx="15">
                  <c:v>5.208333333333335E-2</c:v>
                </c:pt>
                <c:pt idx="16">
                  <c:v>5.5555555555555573E-2</c:v>
                </c:pt>
                <c:pt idx="17">
                  <c:v>5.9027777777777797E-2</c:v>
                </c:pt>
                <c:pt idx="18">
                  <c:v>6.2500000000000014E-2</c:v>
                </c:pt>
                <c:pt idx="19">
                  <c:v>6.5972222222222238E-2</c:v>
                </c:pt>
                <c:pt idx="20">
                  <c:v>6.9444444444444461E-2</c:v>
                </c:pt>
                <c:pt idx="21">
                  <c:v>7.2916666666666685E-2</c:v>
                </c:pt>
                <c:pt idx="22">
                  <c:v>7.6388888888888909E-2</c:v>
                </c:pt>
                <c:pt idx="23">
                  <c:v>7.9861111111111133E-2</c:v>
                </c:pt>
                <c:pt idx="24">
                  <c:v>8.3333333333333356E-2</c:v>
                </c:pt>
                <c:pt idx="25">
                  <c:v>8.680555555555558E-2</c:v>
                </c:pt>
                <c:pt idx="26">
                  <c:v>9.0277777777777804E-2</c:v>
                </c:pt>
                <c:pt idx="27">
                  <c:v>9.3750000000000028E-2</c:v>
                </c:pt>
                <c:pt idx="28">
                  <c:v>9.7222222222222252E-2</c:v>
                </c:pt>
                <c:pt idx="29">
                  <c:v>0.10069444444444448</c:v>
                </c:pt>
                <c:pt idx="30">
                  <c:v>0.1041666666666667</c:v>
                </c:pt>
                <c:pt idx="31">
                  <c:v>0.10763888888888892</c:v>
                </c:pt>
                <c:pt idx="32">
                  <c:v>0.11111111111111115</c:v>
                </c:pt>
                <c:pt idx="33">
                  <c:v>0.11458333333333337</c:v>
                </c:pt>
                <c:pt idx="34">
                  <c:v>0.11805555555555559</c:v>
                </c:pt>
                <c:pt idx="35">
                  <c:v>0.12152777777777782</c:v>
                </c:pt>
                <c:pt idx="36">
                  <c:v>0.12500000000000003</c:v>
                </c:pt>
                <c:pt idx="37">
                  <c:v>0.12847222222222224</c:v>
                </c:pt>
                <c:pt idx="38">
                  <c:v>0.13194444444444445</c:v>
                </c:pt>
                <c:pt idx="39">
                  <c:v>0.13541666666666666</c:v>
                </c:pt>
                <c:pt idx="40">
                  <c:v>0.13888888888888887</c:v>
                </c:pt>
                <c:pt idx="41">
                  <c:v>0.14236111111111108</c:v>
                </c:pt>
                <c:pt idx="42">
                  <c:v>0.14583333333333329</c:v>
                </c:pt>
                <c:pt idx="43">
                  <c:v>0.1493055555555555</c:v>
                </c:pt>
                <c:pt idx="44">
                  <c:v>0.15277777777777771</c:v>
                </c:pt>
                <c:pt idx="45">
                  <c:v>0.15624999999999992</c:v>
                </c:pt>
                <c:pt idx="46">
                  <c:v>0.15972222222222213</c:v>
                </c:pt>
                <c:pt idx="47">
                  <c:v>0.16319444444444434</c:v>
                </c:pt>
                <c:pt idx="48">
                  <c:v>0.16666666666666655</c:v>
                </c:pt>
                <c:pt idx="49">
                  <c:v>0.17013888888888876</c:v>
                </c:pt>
                <c:pt idx="50">
                  <c:v>0.17361111111111097</c:v>
                </c:pt>
                <c:pt idx="51">
                  <c:v>0.17708333333333318</c:v>
                </c:pt>
                <c:pt idx="52">
                  <c:v>0.18055555555555539</c:v>
                </c:pt>
                <c:pt idx="53">
                  <c:v>0.1840277777777776</c:v>
                </c:pt>
                <c:pt idx="54">
                  <c:v>0.18749999999999981</c:v>
                </c:pt>
                <c:pt idx="55">
                  <c:v>0.19097222222222202</c:v>
                </c:pt>
                <c:pt idx="56">
                  <c:v>0.19444444444444423</c:v>
                </c:pt>
                <c:pt idx="57">
                  <c:v>0.19791666666666644</c:v>
                </c:pt>
                <c:pt idx="58">
                  <c:v>0.20138888888888865</c:v>
                </c:pt>
                <c:pt idx="59">
                  <c:v>0.20486111111111086</c:v>
                </c:pt>
                <c:pt idx="60">
                  <c:v>0.20833333333333307</c:v>
                </c:pt>
                <c:pt idx="61">
                  <c:v>0.21180555555555527</c:v>
                </c:pt>
                <c:pt idx="62">
                  <c:v>0.21527777777777748</c:v>
                </c:pt>
                <c:pt idx="63">
                  <c:v>0.21874999999999969</c:v>
                </c:pt>
                <c:pt idx="64">
                  <c:v>0.2222222222222219</c:v>
                </c:pt>
                <c:pt idx="65">
                  <c:v>0.22569444444444411</c:v>
                </c:pt>
                <c:pt idx="66">
                  <c:v>0.22916666666666632</c:v>
                </c:pt>
                <c:pt idx="67">
                  <c:v>0.23263888888888853</c:v>
                </c:pt>
                <c:pt idx="68">
                  <c:v>0.23611111111111074</c:v>
                </c:pt>
                <c:pt idx="69">
                  <c:v>0.23958333333333295</c:v>
                </c:pt>
                <c:pt idx="70">
                  <c:v>0.24305555555555516</c:v>
                </c:pt>
                <c:pt idx="71">
                  <c:v>0.24652777777777737</c:v>
                </c:pt>
                <c:pt idx="72">
                  <c:v>0.24999999999999958</c:v>
                </c:pt>
                <c:pt idx="73">
                  <c:v>0.25347222222222182</c:v>
                </c:pt>
                <c:pt idx="74">
                  <c:v>0.25694444444444403</c:v>
                </c:pt>
                <c:pt idx="75">
                  <c:v>0.26041666666666624</c:v>
                </c:pt>
                <c:pt idx="76">
                  <c:v>0.26388888888888845</c:v>
                </c:pt>
                <c:pt idx="77">
                  <c:v>0.26736111111111066</c:v>
                </c:pt>
                <c:pt idx="78">
                  <c:v>0.27083333333333287</c:v>
                </c:pt>
                <c:pt idx="79">
                  <c:v>0.27430555555555508</c:v>
                </c:pt>
                <c:pt idx="80">
                  <c:v>0.27777777777777729</c:v>
                </c:pt>
                <c:pt idx="81">
                  <c:v>0.2812499999999995</c:v>
                </c:pt>
                <c:pt idx="82">
                  <c:v>0.28472222222222171</c:v>
                </c:pt>
                <c:pt idx="83">
                  <c:v>0.28819444444444392</c:v>
                </c:pt>
                <c:pt idx="84">
                  <c:v>0.29166666666666613</c:v>
                </c:pt>
                <c:pt idx="85">
                  <c:v>0.29513888888888834</c:v>
                </c:pt>
                <c:pt idx="86">
                  <c:v>0.29861111111111055</c:v>
                </c:pt>
                <c:pt idx="87">
                  <c:v>0.30208333333333276</c:v>
                </c:pt>
                <c:pt idx="88">
                  <c:v>0.30555555555555497</c:v>
                </c:pt>
                <c:pt idx="89">
                  <c:v>0.30902777777777718</c:v>
                </c:pt>
                <c:pt idx="90">
                  <c:v>0.31249999999999939</c:v>
                </c:pt>
                <c:pt idx="91">
                  <c:v>0.3159722222222216</c:v>
                </c:pt>
                <c:pt idx="92">
                  <c:v>0.31944444444444381</c:v>
                </c:pt>
                <c:pt idx="93">
                  <c:v>0.32291666666666602</c:v>
                </c:pt>
                <c:pt idx="94">
                  <c:v>0.32638888888888823</c:v>
                </c:pt>
                <c:pt idx="95">
                  <c:v>0.32986111111111044</c:v>
                </c:pt>
                <c:pt idx="96">
                  <c:v>0.33333333333333265</c:v>
                </c:pt>
                <c:pt idx="97">
                  <c:v>0.33680555555555486</c:v>
                </c:pt>
                <c:pt idx="98">
                  <c:v>0.34027777777777707</c:v>
                </c:pt>
                <c:pt idx="99">
                  <c:v>0.34374999999999928</c:v>
                </c:pt>
                <c:pt idx="100">
                  <c:v>0.34722222222222149</c:v>
                </c:pt>
                <c:pt idx="101">
                  <c:v>0.3506944444444437</c:v>
                </c:pt>
                <c:pt idx="102">
                  <c:v>0.35416666666666591</c:v>
                </c:pt>
                <c:pt idx="103">
                  <c:v>0.35763888888888812</c:v>
                </c:pt>
                <c:pt idx="104">
                  <c:v>0.36111111111111033</c:v>
                </c:pt>
                <c:pt idx="105">
                  <c:v>0.36458333333333254</c:v>
                </c:pt>
                <c:pt idx="106">
                  <c:v>0.36805555555555475</c:v>
                </c:pt>
                <c:pt idx="107">
                  <c:v>0.37152777777777696</c:v>
                </c:pt>
                <c:pt idx="108">
                  <c:v>0.37499999999999917</c:v>
                </c:pt>
                <c:pt idx="109">
                  <c:v>0.37847222222222138</c:v>
                </c:pt>
                <c:pt idx="110">
                  <c:v>0.38194444444444359</c:v>
                </c:pt>
                <c:pt idx="111">
                  <c:v>0.3854166666666658</c:v>
                </c:pt>
                <c:pt idx="112">
                  <c:v>0.38888888888888801</c:v>
                </c:pt>
                <c:pt idx="113">
                  <c:v>0.39236111111111022</c:v>
                </c:pt>
                <c:pt idx="114">
                  <c:v>0.39583333333333243</c:v>
                </c:pt>
                <c:pt idx="115">
                  <c:v>0.39930555555555464</c:v>
                </c:pt>
                <c:pt idx="116">
                  <c:v>0.40277777777777685</c:v>
                </c:pt>
                <c:pt idx="117">
                  <c:v>0.40624999999999906</c:v>
                </c:pt>
                <c:pt idx="118">
                  <c:v>0.40972222222222127</c:v>
                </c:pt>
                <c:pt idx="119">
                  <c:v>0.41319444444444348</c:v>
                </c:pt>
                <c:pt idx="120">
                  <c:v>0.41666666666666569</c:v>
                </c:pt>
                <c:pt idx="121">
                  <c:v>0.4201388888888879</c:v>
                </c:pt>
                <c:pt idx="122">
                  <c:v>0.42361111111111011</c:v>
                </c:pt>
                <c:pt idx="123">
                  <c:v>0.42708333333333232</c:v>
                </c:pt>
                <c:pt idx="124">
                  <c:v>0.43055555555555453</c:v>
                </c:pt>
                <c:pt idx="125">
                  <c:v>0.43402777777777674</c:v>
                </c:pt>
                <c:pt idx="126">
                  <c:v>0.43749999999999895</c:v>
                </c:pt>
                <c:pt idx="127">
                  <c:v>0.44097222222222116</c:v>
                </c:pt>
                <c:pt idx="128">
                  <c:v>0.44444444444444337</c:v>
                </c:pt>
                <c:pt idx="129">
                  <c:v>0.44791666666666557</c:v>
                </c:pt>
                <c:pt idx="130">
                  <c:v>0.45138888888888778</c:v>
                </c:pt>
                <c:pt idx="131">
                  <c:v>0.45486111111110999</c:v>
                </c:pt>
                <c:pt idx="132">
                  <c:v>0.4583333333333322</c:v>
                </c:pt>
                <c:pt idx="133">
                  <c:v>0.46180555555555441</c:v>
                </c:pt>
                <c:pt idx="134">
                  <c:v>0.46527777777777662</c:v>
                </c:pt>
                <c:pt idx="135">
                  <c:v>0.46874999999999883</c:v>
                </c:pt>
                <c:pt idx="136">
                  <c:v>0.47222222222222104</c:v>
                </c:pt>
                <c:pt idx="137">
                  <c:v>0.47569444444444325</c:v>
                </c:pt>
                <c:pt idx="138">
                  <c:v>0.47916666666666546</c:v>
                </c:pt>
                <c:pt idx="139">
                  <c:v>0.48263888888888767</c:v>
                </c:pt>
                <c:pt idx="140">
                  <c:v>0.48611111111110988</c:v>
                </c:pt>
                <c:pt idx="141">
                  <c:v>0.48958333333333209</c:v>
                </c:pt>
                <c:pt idx="142">
                  <c:v>0.4930555555555543</c:v>
                </c:pt>
                <c:pt idx="143">
                  <c:v>0.49652777777777651</c:v>
                </c:pt>
                <c:pt idx="144">
                  <c:v>0.49999999999999872</c:v>
                </c:pt>
                <c:pt idx="145">
                  <c:v>0.50347222222222099</c:v>
                </c:pt>
                <c:pt idx="146">
                  <c:v>0.5069444444444432</c:v>
                </c:pt>
                <c:pt idx="147">
                  <c:v>0.51041666666666541</c:v>
                </c:pt>
                <c:pt idx="148">
                  <c:v>0.51388888888888762</c:v>
                </c:pt>
                <c:pt idx="149">
                  <c:v>0.51736111111110983</c:v>
                </c:pt>
                <c:pt idx="150">
                  <c:v>0.52083333333333204</c:v>
                </c:pt>
                <c:pt idx="151">
                  <c:v>0.52430555555555425</c:v>
                </c:pt>
                <c:pt idx="152">
                  <c:v>0.52777777777777646</c:v>
                </c:pt>
                <c:pt idx="153">
                  <c:v>0.53124999999999867</c:v>
                </c:pt>
                <c:pt idx="154">
                  <c:v>0.53472222222222088</c:v>
                </c:pt>
                <c:pt idx="155">
                  <c:v>0.53819444444444309</c:v>
                </c:pt>
                <c:pt idx="156">
                  <c:v>0.5416666666666653</c:v>
                </c:pt>
                <c:pt idx="157">
                  <c:v>0.54513888888888751</c:v>
                </c:pt>
                <c:pt idx="158">
                  <c:v>0.54861111111110972</c:v>
                </c:pt>
                <c:pt idx="159">
                  <c:v>0.55208333333333193</c:v>
                </c:pt>
                <c:pt idx="160">
                  <c:v>0.55555555555555414</c:v>
                </c:pt>
                <c:pt idx="161">
                  <c:v>0.55902777777777635</c:v>
                </c:pt>
                <c:pt idx="162">
                  <c:v>0.56249999999999856</c:v>
                </c:pt>
                <c:pt idx="163">
                  <c:v>0.56597222222222077</c:v>
                </c:pt>
                <c:pt idx="164">
                  <c:v>0.56944444444444298</c:v>
                </c:pt>
                <c:pt idx="165">
                  <c:v>0.57291666666666519</c:v>
                </c:pt>
                <c:pt idx="166">
                  <c:v>0.5763888888888874</c:v>
                </c:pt>
                <c:pt idx="167">
                  <c:v>0.57986111111110961</c:v>
                </c:pt>
                <c:pt idx="168">
                  <c:v>0.58333333333333182</c:v>
                </c:pt>
                <c:pt idx="169">
                  <c:v>0.58680555555555403</c:v>
                </c:pt>
                <c:pt idx="170">
                  <c:v>0.59027777777777624</c:v>
                </c:pt>
                <c:pt idx="171">
                  <c:v>0.59374999999999845</c:v>
                </c:pt>
                <c:pt idx="172">
                  <c:v>0.59722222222222066</c:v>
                </c:pt>
                <c:pt idx="173">
                  <c:v>0.60069444444444287</c:v>
                </c:pt>
                <c:pt idx="174">
                  <c:v>0.60416666666666508</c:v>
                </c:pt>
                <c:pt idx="175">
                  <c:v>0.60763888888888729</c:v>
                </c:pt>
                <c:pt idx="176">
                  <c:v>0.6111111111111095</c:v>
                </c:pt>
                <c:pt idx="177">
                  <c:v>0.61458333333333171</c:v>
                </c:pt>
                <c:pt idx="178">
                  <c:v>0.61805555555555391</c:v>
                </c:pt>
                <c:pt idx="179">
                  <c:v>0.62152777777777612</c:v>
                </c:pt>
                <c:pt idx="180">
                  <c:v>0.62499999999999833</c:v>
                </c:pt>
                <c:pt idx="181">
                  <c:v>0.62847222222222054</c:v>
                </c:pt>
                <c:pt idx="182">
                  <c:v>0.63194444444444275</c:v>
                </c:pt>
                <c:pt idx="183">
                  <c:v>0.63541666666666496</c:v>
                </c:pt>
                <c:pt idx="184">
                  <c:v>0.63888888888888717</c:v>
                </c:pt>
                <c:pt idx="185">
                  <c:v>0.64236111111110938</c:v>
                </c:pt>
                <c:pt idx="186">
                  <c:v>0.64583333333333159</c:v>
                </c:pt>
                <c:pt idx="187">
                  <c:v>0.6493055555555538</c:v>
                </c:pt>
                <c:pt idx="188">
                  <c:v>0.65277777777777601</c:v>
                </c:pt>
                <c:pt idx="189">
                  <c:v>0.65624999999999822</c:v>
                </c:pt>
                <c:pt idx="190">
                  <c:v>0.65972222222222043</c:v>
                </c:pt>
                <c:pt idx="191">
                  <c:v>0.66319444444444264</c:v>
                </c:pt>
                <c:pt idx="192">
                  <c:v>0.66666666666666485</c:v>
                </c:pt>
                <c:pt idx="193">
                  <c:v>0.67013888888888706</c:v>
                </c:pt>
                <c:pt idx="194">
                  <c:v>0.67361111111110927</c:v>
                </c:pt>
                <c:pt idx="195">
                  <c:v>0.67708333333333148</c:v>
                </c:pt>
                <c:pt idx="196">
                  <c:v>0.68055555555555369</c:v>
                </c:pt>
                <c:pt idx="197">
                  <c:v>0.6840277777777759</c:v>
                </c:pt>
                <c:pt idx="198">
                  <c:v>0.68749999999999811</c:v>
                </c:pt>
                <c:pt idx="199">
                  <c:v>0.69097222222222032</c:v>
                </c:pt>
                <c:pt idx="200">
                  <c:v>0.69444444444444253</c:v>
                </c:pt>
                <c:pt idx="201">
                  <c:v>0.69791666666666474</c:v>
                </c:pt>
                <c:pt idx="202">
                  <c:v>0.70138888888888695</c:v>
                </c:pt>
                <c:pt idx="203">
                  <c:v>0.70486111111110916</c:v>
                </c:pt>
                <c:pt idx="204">
                  <c:v>0.70833333333333137</c:v>
                </c:pt>
                <c:pt idx="205">
                  <c:v>0.71180555555555358</c:v>
                </c:pt>
                <c:pt idx="206">
                  <c:v>0.71527777777777579</c:v>
                </c:pt>
                <c:pt idx="207">
                  <c:v>0.718749999999998</c:v>
                </c:pt>
                <c:pt idx="208">
                  <c:v>0.72222222222222021</c:v>
                </c:pt>
                <c:pt idx="209">
                  <c:v>0.72569444444444242</c:v>
                </c:pt>
                <c:pt idx="210">
                  <c:v>0.72916666666666463</c:v>
                </c:pt>
                <c:pt idx="211">
                  <c:v>0.73263888888888684</c:v>
                </c:pt>
                <c:pt idx="212">
                  <c:v>0.73611111111110905</c:v>
                </c:pt>
                <c:pt idx="213">
                  <c:v>0.73958333333333126</c:v>
                </c:pt>
                <c:pt idx="214">
                  <c:v>0.74305555555555347</c:v>
                </c:pt>
                <c:pt idx="215">
                  <c:v>0.74652777777777568</c:v>
                </c:pt>
                <c:pt idx="216">
                  <c:v>0.74999999999999789</c:v>
                </c:pt>
                <c:pt idx="217">
                  <c:v>0.7534722222222201</c:v>
                </c:pt>
                <c:pt idx="218">
                  <c:v>0.75694444444444231</c:v>
                </c:pt>
                <c:pt idx="219">
                  <c:v>0.76041666666666452</c:v>
                </c:pt>
                <c:pt idx="220">
                  <c:v>0.76388888888888673</c:v>
                </c:pt>
                <c:pt idx="221">
                  <c:v>0.76736111111110894</c:v>
                </c:pt>
                <c:pt idx="222">
                  <c:v>0.77083333333333115</c:v>
                </c:pt>
                <c:pt idx="223">
                  <c:v>0.77430555555555336</c:v>
                </c:pt>
                <c:pt idx="224">
                  <c:v>0.77777777777777557</c:v>
                </c:pt>
                <c:pt idx="225">
                  <c:v>0.78124999999999778</c:v>
                </c:pt>
                <c:pt idx="226">
                  <c:v>0.78472222222221999</c:v>
                </c:pt>
                <c:pt idx="227">
                  <c:v>0.7881944444444422</c:v>
                </c:pt>
                <c:pt idx="228">
                  <c:v>0.79166666666666441</c:v>
                </c:pt>
                <c:pt idx="229">
                  <c:v>0.79513888888888662</c:v>
                </c:pt>
                <c:pt idx="230">
                  <c:v>0.79861111111110883</c:v>
                </c:pt>
                <c:pt idx="231">
                  <c:v>0.80208333333333104</c:v>
                </c:pt>
                <c:pt idx="232">
                  <c:v>0.80555555555555325</c:v>
                </c:pt>
                <c:pt idx="233">
                  <c:v>0.80902777777777546</c:v>
                </c:pt>
                <c:pt idx="234">
                  <c:v>0.81249999999999767</c:v>
                </c:pt>
                <c:pt idx="235">
                  <c:v>0.81597222222221988</c:v>
                </c:pt>
                <c:pt idx="236">
                  <c:v>0.81944444444444209</c:v>
                </c:pt>
                <c:pt idx="237">
                  <c:v>0.8229166666666643</c:v>
                </c:pt>
                <c:pt idx="238">
                  <c:v>0.82638888888888651</c:v>
                </c:pt>
                <c:pt idx="239">
                  <c:v>0.82986111111110872</c:v>
                </c:pt>
                <c:pt idx="240">
                  <c:v>0.83333333333333093</c:v>
                </c:pt>
                <c:pt idx="241">
                  <c:v>0.83680555555555314</c:v>
                </c:pt>
                <c:pt idx="242">
                  <c:v>0.84027777777777535</c:v>
                </c:pt>
                <c:pt idx="243">
                  <c:v>0.84374999999999756</c:v>
                </c:pt>
                <c:pt idx="244">
                  <c:v>0.84722222222221977</c:v>
                </c:pt>
                <c:pt idx="245">
                  <c:v>0.85069444444444198</c:v>
                </c:pt>
                <c:pt idx="246">
                  <c:v>0.85416666666666419</c:v>
                </c:pt>
                <c:pt idx="247">
                  <c:v>0.8576388888888864</c:v>
                </c:pt>
                <c:pt idx="248">
                  <c:v>0.86111111111110861</c:v>
                </c:pt>
                <c:pt idx="249">
                  <c:v>0.86458333333333082</c:v>
                </c:pt>
                <c:pt idx="250">
                  <c:v>0.86805555555555303</c:v>
                </c:pt>
                <c:pt idx="251">
                  <c:v>0.87152777777777524</c:v>
                </c:pt>
                <c:pt idx="252">
                  <c:v>0.87499999999999745</c:v>
                </c:pt>
                <c:pt idx="253">
                  <c:v>0.87847222222221966</c:v>
                </c:pt>
                <c:pt idx="254">
                  <c:v>0.88194444444444187</c:v>
                </c:pt>
                <c:pt idx="255">
                  <c:v>0.88541666666666408</c:v>
                </c:pt>
                <c:pt idx="256">
                  <c:v>0.88888888888888629</c:v>
                </c:pt>
                <c:pt idx="257">
                  <c:v>0.8923611111111085</c:v>
                </c:pt>
                <c:pt idx="258">
                  <c:v>0.89583333333333071</c:v>
                </c:pt>
                <c:pt idx="259">
                  <c:v>0.89930555555555292</c:v>
                </c:pt>
                <c:pt idx="260">
                  <c:v>0.90277777777777513</c:v>
                </c:pt>
                <c:pt idx="261">
                  <c:v>0.90624999999999734</c:v>
                </c:pt>
                <c:pt idx="262">
                  <c:v>0.90972222222221955</c:v>
                </c:pt>
                <c:pt idx="263">
                  <c:v>0.91319444444444176</c:v>
                </c:pt>
                <c:pt idx="264">
                  <c:v>0.91666666666666397</c:v>
                </c:pt>
                <c:pt idx="265">
                  <c:v>0.92013888888888618</c:v>
                </c:pt>
                <c:pt idx="266">
                  <c:v>0.92361111111110838</c:v>
                </c:pt>
                <c:pt idx="267">
                  <c:v>0.92708333333333059</c:v>
                </c:pt>
                <c:pt idx="268">
                  <c:v>0.9305555555555528</c:v>
                </c:pt>
                <c:pt idx="269">
                  <c:v>0.93402777777777501</c:v>
                </c:pt>
                <c:pt idx="270">
                  <c:v>0.93749999999999722</c:v>
                </c:pt>
                <c:pt idx="271">
                  <c:v>0.94097222222221943</c:v>
                </c:pt>
                <c:pt idx="272">
                  <c:v>0.94444444444444164</c:v>
                </c:pt>
                <c:pt idx="273">
                  <c:v>0.94791666666666385</c:v>
                </c:pt>
                <c:pt idx="274">
                  <c:v>0.95138888888888606</c:v>
                </c:pt>
                <c:pt idx="275">
                  <c:v>0.95486111111110827</c:v>
                </c:pt>
                <c:pt idx="276">
                  <c:v>0.95833333333333048</c:v>
                </c:pt>
                <c:pt idx="277">
                  <c:v>0.96180555555555269</c:v>
                </c:pt>
                <c:pt idx="278">
                  <c:v>0.9652777777777749</c:v>
                </c:pt>
                <c:pt idx="279">
                  <c:v>0.96874999999999711</c:v>
                </c:pt>
                <c:pt idx="280">
                  <c:v>0.97222222222221932</c:v>
                </c:pt>
                <c:pt idx="281">
                  <c:v>0.97569444444444153</c:v>
                </c:pt>
                <c:pt idx="282">
                  <c:v>0.97916666666666374</c:v>
                </c:pt>
                <c:pt idx="283">
                  <c:v>0.98263888888888595</c:v>
                </c:pt>
                <c:pt idx="284">
                  <c:v>0.98611111111110816</c:v>
                </c:pt>
                <c:pt idx="285">
                  <c:v>0.98958333333333037</c:v>
                </c:pt>
                <c:pt idx="286">
                  <c:v>0.99305555555555258</c:v>
                </c:pt>
                <c:pt idx="287">
                  <c:v>0.99652777777777479</c:v>
                </c:pt>
                <c:pt idx="288">
                  <c:v>0.999999999999997</c:v>
                </c:pt>
              </c:numCache>
            </c:numRef>
          </c:xVal>
          <c:yVal>
            <c:numRef>
              <c:f>Output!$D$2:$D$290</c:f>
              <c:numCache>
                <c:formatCode>0.00</c:formatCode>
                <c:ptCount val="289"/>
                <c:pt idx="0">
                  <c:v>0</c:v>
                </c:pt>
                <c:pt idx="1">
                  <c:v>1.4943182995446582</c:v>
                </c:pt>
                <c:pt idx="2">
                  <c:v>1.1886622837287055</c:v>
                </c:pt>
                <c:pt idx="3">
                  <c:v>1.1433799110152305</c:v>
                </c:pt>
                <c:pt idx="4">
                  <c:v>1.0980975383017568</c:v>
                </c:pt>
                <c:pt idx="5">
                  <c:v>1.052815165588282</c:v>
                </c:pt>
                <c:pt idx="6">
                  <c:v>1.0188533860531757</c:v>
                </c:pt>
                <c:pt idx="7">
                  <c:v>1.0188533860531757</c:v>
                </c:pt>
                <c:pt idx="8">
                  <c:v>1.0754563519450198</c:v>
                </c:pt>
                <c:pt idx="9">
                  <c:v>1.1207387246584926</c:v>
                </c:pt>
                <c:pt idx="10">
                  <c:v>1.1660210973719694</c:v>
                </c:pt>
                <c:pt idx="11">
                  <c:v>1.2113034700854413</c:v>
                </c:pt>
                <c:pt idx="12">
                  <c:v>1.3131888086907617</c:v>
                </c:pt>
                <c:pt idx="13">
                  <c:v>1.5848830449716069</c:v>
                </c:pt>
                <c:pt idx="14">
                  <c:v>1.641486010863451</c:v>
                </c:pt>
                <c:pt idx="15">
                  <c:v>1.6867683835769229</c:v>
                </c:pt>
                <c:pt idx="16">
                  <c:v>1.7320507562903993</c:v>
                </c:pt>
                <c:pt idx="17">
                  <c:v>1.7773331290038761</c:v>
                </c:pt>
                <c:pt idx="18">
                  <c:v>1.7886537221822434</c:v>
                </c:pt>
                <c:pt idx="19">
                  <c:v>1.6980889767552902</c:v>
                </c:pt>
                <c:pt idx="20">
                  <c:v>1.6980889767552947</c:v>
                </c:pt>
                <c:pt idx="21">
                  <c:v>1.6528066040418206</c:v>
                </c:pt>
                <c:pt idx="22">
                  <c:v>1.709409569933662</c:v>
                </c:pt>
                <c:pt idx="23">
                  <c:v>1.7320507562903971</c:v>
                </c:pt>
                <c:pt idx="24">
                  <c:v>1.709409569933662</c:v>
                </c:pt>
                <c:pt idx="25">
                  <c:v>1.7546919426471363</c:v>
                </c:pt>
                <c:pt idx="26">
                  <c:v>1.8112949085389829</c:v>
                </c:pt>
                <c:pt idx="27">
                  <c:v>1.8112949085389731</c:v>
                </c:pt>
                <c:pt idx="28">
                  <c:v>1.8452566880740848</c:v>
                </c:pt>
                <c:pt idx="29">
                  <c:v>1.8452566880740895</c:v>
                </c:pt>
                <c:pt idx="30">
                  <c:v>1.811294908538978</c:v>
                </c:pt>
                <c:pt idx="31">
                  <c:v>1.811294908538978</c:v>
                </c:pt>
                <c:pt idx="32">
                  <c:v>1.8112949085389876</c:v>
                </c:pt>
                <c:pt idx="33">
                  <c:v>1.811294908538978</c:v>
                </c:pt>
                <c:pt idx="34">
                  <c:v>1.8112949085389687</c:v>
                </c:pt>
                <c:pt idx="35">
                  <c:v>1.8112949085389876</c:v>
                </c:pt>
                <c:pt idx="36">
                  <c:v>1.7999743153606107</c:v>
                </c:pt>
                <c:pt idx="37">
                  <c:v>1.7546919426471317</c:v>
                </c:pt>
                <c:pt idx="38">
                  <c:v>1.8112949085389876</c:v>
                </c:pt>
                <c:pt idx="39">
                  <c:v>1.811294908538978</c:v>
                </c:pt>
                <c:pt idx="40">
                  <c:v>1.811294908538978</c:v>
                </c:pt>
                <c:pt idx="41">
                  <c:v>1.8339360948957222</c:v>
                </c:pt>
                <c:pt idx="42">
                  <c:v>1.890539060787559</c:v>
                </c:pt>
                <c:pt idx="43">
                  <c:v>1.9811038062145077</c:v>
                </c:pt>
                <c:pt idx="44">
                  <c:v>2.0377067721063442</c:v>
                </c:pt>
                <c:pt idx="45">
                  <c:v>1.9924243993928845</c:v>
                </c:pt>
                <c:pt idx="46">
                  <c:v>2.0490273652847115</c:v>
                </c:pt>
                <c:pt idx="47">
                  <c:v>2.0943097379982003</c:v>
                </c:pt>
                <c:pt idx="48">
                  <c:v>2.0943097379982003</c:v>
                </c:pt>
                <c:pt idx="49">
                  <c:v>2.0943097379981905</c:v>
                </c:pt>
                <c:pt idx="50">
                  <c:v>2.0943097379981905</c:v>
                </c:pt>
                <c:pt idx="51">
                  <c:v>2.1395921107116793</c:v>
                </c:pt>
                <c:pt idx="52">
                  <c:v>2.1848744834251299</c:v>
                </c:pt>
                <c:pt idx="53">
                  <c:v>2.2075156697818832</c:v>
                </c:pt>
                <c:pt idx="54">
                  <c:v>2.2188362629602696</c:v>
                </c:pt>
                <c:pt idx="55">
                  <c:v>2.2641186356737202</c:v>
                </c:pt>
                <c:pt idx="56">
                  <c:v>2.3207216015655572</c:v>
                </c:pt>
                <c:pt idx="57">
                  <c:v>2.3660039742790455</c:v>
                </c:pt>
                <c:pt idx="58">
                  <c:v>2.4112863469925152</c:v>
                </c:pt>
                <c:pt idx="59">
                  <c:v>2.4565687197060031</c:v>
                </c:pt>
                <c:pt idx="60">
                  <c:v>2.5131716855978214</c:v>
                </c:pt>
                <c:pt idx="61">
                  <c:v>2.603736431024779</c:v>
                </c:pt>
                <c:pt idx="62">
                  <c:v>2.6603393969166347</c:v>
                </c:pt>
                <c:pt idx="63">
                  <c:v>2.7056217696301044</c:v>
                </c:pt>
                <c:pt idx="64">
                  <c:v>2.750904142343555</c:v>
                </c:pt>
                <c:pt idx="65">
                  <c:v>2.7961865150570624</c:v>
                </c:pt>
                <c:pt idx="66">
                  <c:v>2.8188277014137784</c:v>
                </c:pt>
                <c:pt idx="67">
                  <c:v>2.7735453287003278</c:v>
                </c:pt>
                <c:pt idx="68">
                  <c:v>2.8867512604840013</c:v>
                </c:pt>
                <c:pt idx="69">
                  <c:v>2.932033633197471</c:v>
                </c:pt>
                <c:pt idx="70">
                  <c:v>2.9773160059109589</c:v>
                </c:pt>
                <c:pt idx="71">
                  <c:v>3.0452395649811441</c:v>
                </c:pt>
                <c:pt idx="72">
                  <c:v>3.169766089943205</c:v>
                </c:pt>
                <c:pt idx="73">
                  <c:v>3.3961779535105894</c:v>
                </c:pt>
                <c:pt idx="74">
                  <c:v>3.4527809194024268</c:v>
                </c:pt>
                <c:pt idx="75">
                  <c:v>3.4980632921159147</c:v>
                </c:pt>
                <c:pt idx="76">
                  <c:v>3.5433456648293662</c:v>
                </c:pt>
                <c:pt idx="77">
                  <c:v>3.5886280375428541</c:v>
                </c:pt>
                <c:pt idx="78">
                  <c:v>3.5659868511861195</c:v>
                </c:pt>
                <c:pt idx="79">
                  <c:v>3.3395749876187528</c:v>
                </c:pt>
                <c:pt idx="80">
                  <c:v>3.3395749876187337</c:v>
                </c:pt>
                <c:pt idx="81">
                  <c:v>3.4301397330457108</c:v>
                </c:pt>
                <c:pt idx="82">
                  <c:v>3.5546662580077335</c:v>
                </c:pt>
                <c:pt idx="83">
                  <c:v>3.690513376148179</c:v>
                </c:pt>
                <c:pt idx="84">
                  <c:v>3.8490016806453227</c:v>
                </c:pt>
                <c:pt idx="85">
                  <c:v>4.075413544212708</c:v>
                </c:pt>
                <c:pt idx="86">
                  <c:v>4.3584283736718925</c:v>
                </c:pt>
                <c:pt idx="87">
                  <c:v>4.6301226099527844</c:v>
                </c:pt>
                <c:pt idx="88">
                  <c:v>4.9357786257687417</c:v>
                </c:pt>
                <c:pt idx="89">
                  <c:v>5.2753964211197619</c:v>
                </c:pt>
                <c:pt idx="90">
                  <c:v>6.8602794660913844</c:v>
                </c:pt>
                <c:pt idx="91">
                  <c:v>12.11303470085441</c:v>
                </c:pt>
                <c:pt idx="92">
                  <c:v>13.188491052799463</c:v>
                </c:pt>
                <c:pt idx="93">
                  <c:v>13.550750034507256</c:v>
                </c:pt>
                <c:pt idx="94">
                  <c:v>13.539429441328888</c:v>
                </c:pt>
                <c:pt idx="95">
                  <c:v>13.154529273264323</c:v>
                </c:pt>
                <c:pt idx="96">
                  <c:v>11.773416905503353</c:v>
                </c:pt>
                <c:pt idx="97">
                  <c:v>8.1508270884254159</c:v>
                </c:pt>
                <c:pt idx="98">
                  <c:v>6.9621648046966902</c:v>
                </c:pt>
                <c:pt idx="99">
                  <c:v>6.1923644685676331</c:v>
                </c:pt>
                <c:pt idx="100">
                  <c:v>5.5584112505789847</c:v>
                </c:pt>
                <c:pt idx="101">
                  <c:v>5.060305150730783</c:v>
                </c:pt>
                <c:pt idx="102">
                  <c:v>4.8225726939850304</c:v>
                </c:pt>
                <c:pt idx="103">
                  <c:v>5.094266930265885</c:v>
                </c:pt>
                <c:pt idx="104">
                  <c:v>4.8112521008066622</c:v>
                </c:pt>
                <c:pt idx="105">
                  <c:v>4.5848402372392396</c:v>
                </c:pt>
                <c:pt idx="106">
                  <c:v>4.358428373671968</c:v>
                </c:pt>
                <c:pt idx="107">
                  <c:v>4.1320165101045445</c:v>
                </c:pt>
                <c:pt idx="108">
                  <c:v>3.9169252397155647</c:v>
                </c:pt>
                <c:pt idx="109">
                  <c:v>3.7357957488616109</c:v>
                </c:pt>
                <c:pt idx="110">
                  <c:v>3.5659868511861759</c:v>
                </c:pt>
                <c:pt idx="111">
                  <c:v>3.4301397330456922</c:v>
                </c:pt>
                <c:pt idx="112">
                  <c:v>3.2942926149052081</c:v>
                </c:pt>
                <c:pt idx="113">
                  <c:v>3.158445496764875</c:v>
                </c:pt>
                <c:pt idx="114">
                  <c:v>3.0792013445163038</c:v>
                </c:pt>
                <c:pt idx="115">
                  <c:v>3.1697660899431668</c:v>
                </c:pt>
                <c:pt idx="116">
                  <c:v>3.1697660899432423</c:v>
                </c:pt>
                <c:pt idx="117">
                  <c:v>3.0792013445162274</c:v>
                </c:pt>
                <c:pt idx="118">
                  <c:v>2.9886365990892889</c:v>
                </c:pt>
                <c:pt idx="119">
                  <c:v>2.9433542263758947</c:v>
                </c:pt>
                <c:pt idx="120">
                  <c:v>2.9207130400190846</c:v>
                </c:pt>
                <c:pt idx="121">
                  <c:v>2.8301482945921457</c:v>
                </c:pt>
                <c:pt idx="122">
                  <c:v>2.7169423628084717</c:v>
                </c:pt>
                <c:pt idx="123">
                  <c:v>2.7169423628084717</c:v>
                </c:pt>
                <c:pt idx="124">
                  <c:v>2.7169423628085472</c:v>
                </c:pt>
                <c:pt idx="125">
                  <c:v>2.6716599900949269</c:v>
                </c:pt>
                <c:pt idx="126">
                  <c:v>2.6263776173815327</c:v>
                </c:pt>
                <c:pt idx="127">
                  <c:v>2.7169423628084717</c:v>
                </c:pt>
                <c:pt idx="128">
                  <c:v>2.6037364310247977</c:v>
                </c:pt>
                <c:pt idx="129">
                  <c:v>2.6037364310247977</c:v>
                </c:pt>
                <c:pt idx="130">
                  <c:v>2.6037364310247226</c:v>
                </c:pt>
                <c:pt idx="131">
                  <c:v>2.5584540583113284</c:v>
                </c:pt>
                <c:pt idx="132">
                  <c:v>2.4905304992411246</c:v>
                </c:pt>
                <c:pt idx="133">
                  <c:v>2.4905304992410491</c:v>
                </c:pt>
                <c:pt idx="134">
                  <c:v>2.3773245674574506</c:v>
                </c:pt>
                <c:pt idx="135">
                  <c:v>2.3773245674574506</c:v>
                </c:pt>
                <c:pt idx="136">
                  <c:v>2.3773245674573751</c:v>
                </c:pt>
                <c:pt idx="137">
                  <c:v>2.3320421947439054</c:v>
                </c:pt>
                <c:pt idx="138">
                  <c:v>2.2527980424954093</c:v>
                </c:pt>
                <c:pt idx="139">
                  <c:v>2.2075156697818645</c:v>
                </c:pt>
                <c:pt idx="140">
                  <c:v>2.1509127038899525</c:v>
                </c:pt>
                <c:pt idx="141">
                  <c:v>2.150912703890103</c:v>
                </c:pt>
                <c:pt idx="142">
                  <c:v>2.1509127038900275</c:v>
                </c:pt>
                <c:pt idx="143">
                  <c:v>2.1282715175332929</c:v>
                </c:pt>
                <c:pt idx="144">
                  <c:v>2.0943097379981905</c:v>
                </c:pt>
                <c:pt idx="145">
                  <c:v>2.0943097379981905</c:v>
                </c:pt>
                <c:pt idx="146">
                  <c:v>2.1509127038900275</c:v>
                </c:pt>
                <c:pt idx="147">
                  <c:v>2.150912703890103</c:v>
                </c:pt>
                <c:pt idx="148">
                  <c:v>2.1509127038900275</c:v>
                </c:pt>
                <c:pt idx="149">
                  <c:v>2.1735538902467626</c:v>
                </c:pt>
                <c:pt idx="150">
                  <c:v>2.1735538902467626</c:v>
                </c:pt>
                <c:pt idx="151">
                  <c:v>2.037706772106354</c:v>
                </c:pt>
                <c:pt idx="152">
                  <c:v>2.0943097379981905</c:v>
                </c:pt>
                <c:pt idx="153">
                  <c:v>2.0490273652847213</c:v>
                </c:pt>
                <c:pt idx="154">
                  <c:v>2.003744992571252</c:v>
                </c:pt>
                <c:pt idx="155">
                  <c:v>2.003744992571252</c:v>
                </c:pt>
                <c:pt idx="156">
                  <c:v>2.0490273652847213</c:v>
                </c:pt>
                <c:pt idx="157">
                  <c:v>2.0943097379981905</c:v>
                </c:pt>
                <c:pt idx="158">
                  <c:v>2.0943097379981905</c:v>
                </c:pt>
                <c:pt idx="159">
                  <c:v>2.0490273652847213</c:v>
                </c:pt>
                <c:pt idx="160">
                  <c:v>2.003744992571252</c:v>
                </c:pt>
                <c:pt idx="161">
                  <c:v>1.981103806214517</c:v>
                </c:pt>
                <c:pt idx="162">
                  <c:v>1.981103806214517</c:v>
                </c:pt>
                <c:pt idx="163">
                  <c:v>1.981103806214517</c:v>
                </c:pt>
                <c:pt idx="164">
                  <c:v>1.92450084032268</c:v>
                </c:pt>
                <c:pt idx="165">
                  <c:v>1.9245008403226047</c:v>
                </c:pt>
                <c:pt idx="166">
                  <c:v>1.8905390607875781</c:v>
                </c:pt>
                <c:pt idx="167">
                  <c:v>1.8905390607875781</c:v>
                </c:pt>
                <c:pt idx="168">
                  <c:v>1.9245008403226047</c:v>
                </c:pt>
                <c:pt idx="169">
                  <c:v>1.92450084032268</c:v>
                </c:pt>
                <c:pt idx="170">
                  <c:v>1.92450084032268</c:v>
                </c:pt>
                <c:pt idx="171">
                  <c:v>1.8792184676092107</c:v>
                </c:pt>
                <c:pt idx="172">
                  <c:v>1.9018596539659454</c:v>
                </c:pt>
                <c:pt idx="173">
                  <c:v>1.9018596539659454</c:v>
                </c:pt>
                <c:pt idx="174">
                  <c:v>1.8678978744307679</c:v>
                </c:pt>
                <c:pt idx="175">
                  <c:v>1.867897874430843</c:v>
                </c:pt>
                <c:pt idx="176">
                  <c:v>1.867897874430843</c:v>
                </c:pt>
                <c:pt idx="177">
                  <c:v>1.867897874430843</c:v>
                </c:pt>
                <c:pt idx="178">
                  <c:v>1.867897874430843</c:v>
                </c:pt>
                <c:pt idx="179">
                  <c:v>1.8452566880740333</c:v>
                </c:pt>
                <c:pt idx="180">
                  <c:v>1.8226155017172982</c:v>
                </c:pt>
                <c:pt idx="181">
                  <c:v>1.867897874430843</c:v>
                </c:pt>
                <c:pt idx="182">
                  <c:v>1.8112949085389309</c:v>
                </c:pt>
                <c:pt idx="183">
                  <c:v>1.8112949085390819</c:v>
                </c:pt>
                <c:pt idx="184">
                  <c:v>1.8112949085389309</c:v>
                </c:pt>
                <c:pt idx="185">
                  <c:v>1.8112949085390062</c:v>
                </c:pt>
                <c:pt idx="186">
                  <c:v>1.8112949085390062</c:v>
                </c:pt>
                <c:pt idx="187">
                  <c:v>1.8112949085389309</c:v>
                </c:pt>
                <c:pt idx="188">
                  <c:v>1.7546919426471694</c:v>
                </c:pt>
                <c:pt idx="189">
                  <c:v>1.7546919426470939</c:v>
                </c:pt>
                <c:pt idx="190">
                  <c:v>1.7886537221822716</c:v>
                </c:pt>
                <c:pt idx="191">
                  <c:v>1.7886537221822716</c:v>
                </c:pt>
                <c:pt idx="192">
                  <c:v>1.7546919426470939</c:v>
                </c:pt>
                <c:pt idx="193">
                  <c:v>1.7546919426471694</c:v>
                </c:pt>
                <c:pt idx="194">
                  <c:v>1.6980889767552572</c:v>
                </c:pt>
                <c:pt idx="195">
                  <c:v>1.7433713494688021</c:v>
                </c:pt>
                <c:pt idx="196">
                  <c:v>1.7207301631120675</c:v>
                </c:pt>
                <c:pt idx="197">
                  <c:v>1.7207301631119918</c:v>
                </c:pt>
                <c:pt idx="198">
                  <c:v>1.7433713494687266</c:v>
                </c:pt>
                <c:pt idx="199">
                  <c:v>1.6980889767553324</c:v>
                </c:pt>
                <c:pt idx="200">
                  <c:v>1.6980889767553324</c:v>
                </c:pt>
                <c:pt idx="201">
                  <c:v>1.6528066040417877</c:v>
                </c:pt>
                <c:pt idx="202">
                  <c:v>1.6754477903985225</c:v>
                </c:pt>
                <c:pt idx="203">
                  <c:v>1.6980889767553324</c:v>
                </c:pt>
                <c:pt idx="204">
                  <c:v>1.6867683835768899</c:v>
                </c:pt>
                <c:pt idx="205">
                  <c:v>1.6414860108634204</c:v>
                </c:pt>
                <c:pt idx="206">
                  <c:v>1.6414860108634204</c:v>
                </c:pt>
                <c:pt idx="207">
                  <c:v>1.6414860108634954</c:v>
                </c:pt>
                <c:pt idx="208">
                  <c:v>1.6414860108634954</c:v>
                </c:pt>
                <c:pt idx="209">
                  <c:v>1.6414860108634204</c:v>
                </c:pt>
                <c:pt idx="210">
                  <c:v>1.6414860108634204</c:v>
                </c:pt>
                <c:pt idx="211">
                  <c:v>1.6414860108634954</c:v>
                </c:pt>
                <c:pt idx="212">
                  <c:v>1.5848830449715834</c:v>
                </c:pt>
                <c:pt idx="213">
                  <c:v>1.5848830449715834</c:v>
                </c:pt>
                <c:pt idx="214">
                  <c:v>1.5848830449715834</c:v>
                </c:pt>
                <c:pt idx="215">
                  <c:v>1.5848830449716589</c:v>
                </c:pt>
                <c:pt idx="216">
                  <c:v>1.5848830449716589</c:v>
                </c:pt>
                <c:pt idx="217">
                  <c:v>1.5848830449715834</c:v>
                </c:pt>
                <c:pt idx="218">
                  <c:v>1.5848830449715834</c:v>
                </c:pt>
                <c:pt idx="219">
                  <c:v>1.5396006722581137</c:v>
                </c:pt>
                <c:pt idx="220">
                  <c:v>1.5622418586148488</c:v>
                </c:pt>
                <c:pt idx="221">
                  <c:v>1.562241858614924</c:v>
                </c:pt>
                <c:pt idx="222">
                  <c:v>1.5282800790797464</c:v>
                </c:pt>
                <c:pt idx="223">
                  <c:v>1.5282800790797464</c:v>
                </c:pt>
                <c:pt idx="224">
                  <c:v>1.5282800790797464</c:v>
                </c:pt>
                <c:pt idx="225">
                  <c:v>1.5282800790798221</c:v>
                </c:pt>
                <c:pt idx="226">
                  <c:v>1.5282800790797464</c:v>
                </c:pt>
                <c:pt idx="227">
                  <c:v>1.5056388927230118</c:v>
                </c:pt>
                <c:pt idx="228">
                  <c:v>1.4716771131879096</c:v>
                </c:pt>
                <c:pt idx="229">
                  <c:v>1.4716771131879096</c:v>
                </c:pt>
                <c:pt idx="230">
                  <c:v>1.5282800790798221</c:v>
                </c:pt>
                <c:pt idx="231">
                  <c:v>1.4829977063662771</c:v>
                </c:pt>
                <c:pt idx="232">
                  <c:v>1.4377153336528075</c:v>
                </c:pt>
                <c:pt idx="233">
                  <c:v>1.4377153336528075</c:v>
                </c:pt>
                <c:pt idx="234">
                  <c:v>1.4716771131879096</c:v>
                </c:pt>
                <c:pt idx="235">
                  <c:v>1.4716771131879096</c:v>
                </c:pt>
                <c:pt idx="236">
                  <c:v>1.4150741472960728</c:v>
                </c:pt>
                <c:pt idx="237">
                  <c:v>1.4150741472960728</c:v>
                </c:pt>
                <c:pt idx="238">
                  <c:v>1.4150741472960728</c:v>
                </c:pt>
                <c:pt idx="239">
                  <c:v>1.4150741472961481</c:v>
                </c:pt>
                <c:pt idx="240">
                  <c:v>1.4150741472959973</c:v>
                </c:pt>
                <c:pt idx="241">
                  <c:v>1.4150741472961481</c:v>
                </c:pt>
                <c:pt idx="242">
                  <c:v>1.4150741472960728</c:v>
                </c:pt>
                <c:pt idx="243">
                  <c:v>1.3697917745826034</c:v>
                </c:pt>
                <c:pt idx="244">
                  <c:v>1.3924329609393382</c:v>
                </c:pt>
                <c:pt idx="245">
                  <c:v>1.3924329609393382</c:v>
                </c:pt>
                <c:pt idx="246">
                  <c:v>1.3584711814042358</c:v>
                </c:pt>
                <c:pt idx="247">
                  <c:v>1.3584711814042358</c:v>
                </c:pt>
                <c:pt idx="248">
                  <c:v>1.3584711814042358</c:v>
                </c:pt>
                <c:pt idx="249">
                  <c:v>1.3584711814042358</c:v>
                </c:pt>
                <c:pt idx="250">
                  <c:v>1.3245094018691337</c:v>
                </c:pt>
                <c:pt idx="251">
                  <c:v>1.3245094018691337</c:v>
                </c:pt>
                <c:pt idx="252">
                  <c:v>1.347150588225793</c:v>
                </c:pt>
                <c:pt idx="253">
                  <c:v>1.3018682155124743</c:v>
                </c:pt>
                <c:pt idx="254">
                  <c:v>1.3018682155123988</c:v>
                </c:pt>
                <c:pt idx="255">
                  <c:v>1.3018682155123238</c:v>
                </c:pt>
                <c:pt idx="256">
                  <c:v>1.3018682155123988</c:v>
                </c:pt>
                <c:pt idx="257">
                  <c:v>1.2792270291556642</c:v>
                </c:pt>
                <c:pt idx="258">
                  <c:v>1.2565858427989296</c:v>
                </c:pt>
                <c:pt idx="259">
                  <c:v>1.3018682155123988</c:v>
                </c:pt>
                <c:pt idx="260">
                  <c:v>1.2452652496205623</c:v>
                </c:pt>
                <c:pt idx="261">
                  <c:v>1.2905476223339563</c:v>
                </c:pt>
                <c:pt idx="262">
                  <c:v>1.2679064359772969</c:v>
                </c:pt>
                <c:pt idx="263">
                  <c:v>1.2452652496206376</c:v>
                </c:pt>
                <c:pt idx="264">
                  <c:v>1.2339446564421193</c:v>
                </c:pt>
                <c:pt idx="265">
                  <c:v>1.1886622837287253</c:v>
                </c:pt>
                <c:pt idx="266">
                  <c:v>1.2452652496205623</c:v>
                </c:pt>
                <c:pt idx="267">
                  <c:v>1.1999828769070171</c:v>
                </c:pt>
                <c:pt idx="268">
                  <c:v>1.2226240632638274</c:v>
                </c:pt>
                <c:pt idx="269">
                  <c:v>1.2226240632638274</c:v>
                </c:pt>
                <c:pt idx="270">
                  <c:v>1.1886622837286498</c:v>
                </c:pt>
                <c:pt idx="271">
                  <c:v>1.1886622837287253</c:v>
                </c:pt>
                <c:pt idx="272">
                  <c:v>1.1886622837288006</c:v>
                </c:pt>
                <c:pt idx="273">
                  <c:v>1.1886622837286498</c:v>
                </c:pt>
                <c:pt idx="274">
                  <c:v>1.1547005041936231</c:v>
                </c:pt>
                <c:pt idx="275">
                  <c:v>1.1320593178368885</c:v>
                </c:pt>
                <c:pt idx="276">
                  <c:v>1.1433799110151803</c:v>
                </c:pt>
                <c:pt idx="277">
                  <c:v>1.1886622837287253</c:v>
                </c:pt>
                <c:pt idx="278">
                  <c:v>1.1320593178368885</c:v>
                </c:pt>
                <c:pt idx="279">
                  <c:v>1.132059317836813</c:v>
                </c:pt>
                <c:pt idx="280">
                  <c:v>1.0980975383017109</c:v>
                </c:pt>
                <c:pt idx="281">
                  <c:v>1.0980975383017861</c:v>
                </c:pt>
                <c:pt idx="282">
                  <c:v>1.132059317836813</c:v>
                </c:pt>
                <c:pt idx="283">
                  <c:v>1.1320593178368885</c:v>
                </c:pt>
                <c:pt idx="284">
                  <c:v>1.0754563519450515</c:v>
                </c:pt>
                <c:pt idx="285">
                  <c:v>1.0754563519449762</c:v>
                </c:pt>
                <c:pt idx="286">
                  <c:v>1.0754563519450515</c:v>
                </c:pt>
                <c:pt idx="287">
                  <c:v>1.0754563519450515</c:v>
                </c:pt>
                <c:pt idx="288">
                  <c:v>0.86036508155599589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AF-4F3E-BCDA-4B2C19C05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6767152"/>
        <c:axId val="2126766192"/>
      </c:scatterChart>
      <c:scatterChart>
        <c:scatterStyle val="lineMarker"/>
        <c:varyColors val="0"/>
        <c:ser>
          <c:idx val="1"/>
          <c:order val="1"/>
          <c:tx>
            <c:v>Cumulative (mm)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Output!$A$2:$A$290</c:f>
              <c:numCache>
                <c:formatCode>h:mm;@</c:formatCode>
                <c:ptCount val="289"/>
                <c:pt idx="0">
                  <c:v>0</c:v>
                </c:pt>
                <c:pt idx="1">
                  <c:v>3.472222222222222E-3</c:v>
                </c:pt>
                <c:pt idx="2">
                  <c:v>6.9444444444444441E-3</c:v>
                </c:pt>
                <c:pt idx="3">
                  <c:v>1.0416666666666666E-2</c:v>
                </c:pt>
                <c:pt idx="4">
                  <c:v>1.3888888888888888E-2</c:v>
                </c:pt>
                <c:pt idx="5">
                  <c:v>1.7361111111111112E-2</c:v>
                </c:pt>
                <c:pt idx="6">
                  <c:v>2.0833333333333336E-2</c:v>
                </c:pt>
                <c:pt idx="7">
                  <c:v>2.4305555555555559E-2</c:v>
                </c:pt>
                <c:pt idx="8">
                  <c:v>2.7777777777777783E-2</c:v>
                </c:pt>
                <c:pt idx="9">
                  <c:v>3.1250000000000007E-2</c:v>
                </c:pt>
                <c:pt idx="10">
                  <c:v>3.4722222222222231E-2</c:v>
                </c:pt>
                <c:pt idx="11">
                  <c:v>3.8194444444444454E-2</c:v>
                </c:pt>
                <c:pt idx="12">
                  <c:v>4.1666666666666678E-2</c:v>
                </c:pt>
                <c:pt idx="13">
                  <c:v>4.5138888888888902E-2</c:v>
                </c:pt>
                <c:pt idx="14">
                  <c:v>4.8611111111111126E-2</c:v>
                </c:pt>
                <c:pt idx="15">
                  <c:v>5.208333333333335E-2</c:v>
                </c:pt>
                <c:pt idx="16">
                  <c:v>5.5555555555555573E-2</c:v>
                </c:pt>
                <c:pt idx="17">
                  <c:v>5.9027777777777797E-2</c:v>
                </c:pt>
                <c:pt idx="18">
                  <c:v>6.2500000000000014E-2</c:v>
                </c:pt>
                <c:pt idx="19">
                  <c:v>6.5972222222222238E-2</c:v>
                </c:pt>
                <c:pt idx="20">
                  <c:v>6.9444444444444461E-2</c:v>
                </c:pt>
                <c:pt idx="21">
                  <c:v>7.2916666666666685E-2</c:v>
                </c:pt>
                <c:pt idx="22">
                  <c:v>7.6388888888888909E-2</c:v>
                </c:pt>
                <c:pt idx="23">
                  <c:v>7.9861111111111133E-2</c:v>
                </c:pt>
                <c:pt idx="24">
                  <c:v>8.3333333333333356E-2</c:v>
                </c:pt>
                <c:pt idx="25">
                  <c:v>8.680555555555558E-2</c:v>
                </c:pt>
                <c:pt idx="26">
                  <c:v>9.0277777777777804E-2</c:v>
                </c:pt>
                <c:pt idx="27">
                  <c:v>9.3750000000000028E-2</c:v>
                </c:pt>
                <c:pt idx="28">
                  <c:v>9.7222222222222252E-2</c:v>
                </c:pt>
                <c:pt idx="29">
                  <c:v>0.10069444444444448</c:v>
                </c:pt>
                <c:pt idx="30">
                  <c:v>0.1041666666666667</c:v>
                </c:pt>
                <c:pt idx="31">
                  <c:v>0.10763888888888892</c:v>
                </c:pt>
                <c:pt idx="32">
                  <c:v>0.11111111111111115</c:v>
                </c:pt>
                <c:pt idx="33">
                  <c:v>0.11458333333333337</c:v>
                </c:pt>
                <c:pt idx="34">
                  <c:v>0.11805555555555559</c:v>
                </c:pt>
                <c:pt idx="35">
                  <c:v>0.12152777777777782</c:v>
                </c:pt>
                <c:pt idx="36">
                  <c:v>0.12500000000000003</c:v>
                </c:pt>
                <c:pt idx="37">
                  <c:v>0.12847222222222224</c:v>
                </c:pt>
                <c:pt idx="38">
                  <c:v>0.13194444444444445</c:v>
                </c:pt>
                <c:pt idx="39">
                  <c:v>0.13541666666666666</c:v>
                </c:pt>
                <c:pt idx="40">
                  <c:v>0.13888888888888887</c:v>
                </c:pt>
                <c:pt idx="41">
                  <c:v>0.14236111111111108</c:v>
                </c:pt>
                <c:pt idx="42">
                  <c:v>0.14583333333333329</c:v>
                </c:pt>
                <c:pt idx="43">
                  <c:v>0.1493055555555555</c:v>
                </c:pt>
                <c:pt idx="44">
                  <c:v>0.15277777777777771</c:v>
                </c:pt>
                <c:pt idx="45">
                  <c:v>0.15624999999999992</c:v>
                </c:pt>
                <c:pt idx="46">
                  <c:v>0.15972222222222213</c:v>
                </c:pt>
                <c:pt idx="47">
                  <c:v>0.16319444444444434</c:v>
                </c:pt>
                <c:pt idx="48">
                  <c:v>0.16666666666666655</c:v>
                </c:pt>
                <c:pt idx="49">
                  <c:v>0.17013888888888876</c:v>
                </c:pt>
                <c:pt idx="50">
                  <c:v>0.17361111111111097</c:v>
                </c:pt>
                <c:pt idx="51">
                  <c:v>0.17708333333333318</c:v>
                </c:pt>
                <c:pt idx="52">
                  <c:v>0.18055555555555539</c:v>
                </c:pt>
                <c:pt idx="53">
                  <c:v>0.1840277777777776</c:v>
                </c:pt>
                <c:pt idx="54">
                  <c:v>0.18749999999999981</c:v>
                </c:pt>
                <c:pt idx="55">
                  <c:v>0.19097222222222202</c:v>
                </c:pt>
                <c:pt idx="56">
                  <c:v>0.19444444444444423</c:v>
                </c:pt>
                <c:pt idx="57">
                  <c:v>0.19791666666666644</c:v>
                </c:pt>
                <c:pt idx="58">
                  <c:v>0.20138888888888865</c:v>
                </c:pt>
                <c:pt idx="59">
                  <c:v>0.20486111111111086</c:v>
                </c:pt>
                <c:pt idx="60">
                  <c:v>0.20833333333333307</c:v>
                </c:pt>
                <c:pt idx="61">
                  <c:v>0.21180555555555527</c:v>
                </c:pt>
                <c:pt idx="62">
                  <c:v>0.21527777777777748</c:v>
                </c:pt>
                <c:pt idx="63">
                  <c:v>0.21874999999999969</c:v>
                </c:pt>
                <c:pt idx="64">
                  <c:v>0.2222222222222219</c:v>
                </c:pt>
                <c:pt idx="65">
                  <c:v>0.22569444444444411</c:v>
                </c:pt>
                <c:pt idx="66">
                  <c:v>0.22916666666666632</c:v>
                </c:pt>
                <c:pt idx="67">
                  <c:v>0.23263888888888853</c:v>
                </c:pt>
                <c:pt idx="68">
                  <c:v>0.23611111111111074</c:v>
                </c:pt>
                <c:pt idx="69">
                  <c:v>0.23958333333333295</c:v>
                </c:pt>
                <c:pt idx="70">
                  <c:v>0.24305555555555516</c:v>
                </c:pt>
                <c:pt idx="71">
                  <c:v>0.24652777777777737</c:v>
                </c:pt>
                <c:pt idx="72">
                  <c:v>0.24999999999999958</c:v>
                </c:pt>
                <c:pt idx="73">
                  <c:v>0.25347222222222182</c:v>
                </c:pt>
                <c:pt idx="74">
                  <c:v>0.25694444444444403</c:v>
                </c:pt>
                <c:pt idx="75">
                  <c:v>0.26041666666666624</c:v>
                </c:pt>
                <c:pt idx="76">
                  <c:v>0.26388888888888845</c:v>
                </c:pt>
                <c:pt idx="77">
                  <c:v>0.26736111111111066</c:v>
                </c:pt>
                <c:pt idx="78">
                  <c:v>0.27083333333333287</c:v>
                </c:pt>
                <c:pt idx="79">
                  <c:v>0.27430555555555508</c:v>
                </c:pt>
                <c:pt idx="80">
                  <c:v>0.27777777777777729</c:v>
                </c:pt>
                <c:pt idx="81">
                  <c:v>0.2812499999999995</c:v>
                </c:pt>
                <c:pt idx="82">
                  <c:v>0.28472222222222171</c:v>
                </c:pt>
                <c:pt idx="83">
                  <c:v>0.28819444444444392</c:v>
                </c:pt>
                <c:pt idx="84">
                  <c:v>0.29166666666666613</c:v>
                </c:pt>
                <c:pt idx="85">
                  <c:v>0.29513888888888834</c:v>
                </c:pt>
                <c:pt idx="86">
                  <c:v>0.29861111111111055</c:v>
                </c:pt>
                <c:pt idx="87">
                  <c:v>0.30208333333333276</c:v>
                </c:pt>
                <c:pt idx="88">
                  <c:v>0.30555555555555497</c:v>
                </c:pt>
                <c:pt idx="89">
                  <c:v>0.30902777777777718</c:v>
                </c:pt>
                <c:pt idx="90">
                  <c:v>0.31249999999999939</c:v>
                </c:pt>
                <c:pt idx="91">
                  <c:v>0.3159722222222216</c:v>
                </c:pt>
                <c:pt idx="92">
                  <c:v>0.31944444444444381</c:v>
                </c:pt>
                <c:pt idx="93">
                  <c:v>0.32291666666666602</c:v>
                </c:pt>
                <c:pt idx="94">
                  <c:v>0.32638888888888823</c:v>
                </c:pt>
                <c:pt idx="95">
                  <c:v>0.32986111111111044</c:v>
                </c:pt>
                <c:pt idx="96">
                  <c:v>0.33333333333333265</c:v>
                </c:pt>
                <c:pt idx="97">
                  <c:v>0.33680555555555486</c:v>
                </c:pt>
                <c:pt idx="98">
                  <c:v>0.34027777777777707</c:v>
                </c:pt>
                <c:pt idx="99">
                  <c:v>0.34374999999999928</c:v>
                </c:pt>
                <c:pt idx="100">
                  <c:v>0.34722222222222149</c:v>
                </c:pt>
                <c:pt idx="101">
                  <c:v>0.3506944444444437</c:v>
                </c:pt>
                <c:pt idx="102">
                  <c:v>0.35416666666666591</c:v>
                </c:pt>
                <c:pt idx="103">
                  <c:v>0.35763888888888812</c:v>
                </c:pt>
                <c:pt idx="104">
                  <c:v>0.36111111111111033</c:v>
                </c:pt>
                <c:pt idx="105">
                  <c:v>0.36458333333333254</c:v>
                </c:pt>
                <c:pt idx="106">
                  <c:v>0.36805555555555475</c:v>
                </c:pt>
                <c:pt idx="107">
                  <c:v>0.37152777777777696</c:v>
                </c:pt>
                <c:pt idx="108">
                  <c:v>0.37499999999999917</c:v>
                </c:pt>
                <c:pt idx="109">
                  <c:v>0.37847222222222138</c:v>
                </c:pt>
                <c:pt idx="110">
                  <c:v>0.38194444444444359</c:v>
                </c:pt>
                <c:pt idx="111">
                  <c:v>0.3854166666666658</c:v>
                </c:pt>
                <c:pt idx="112">
                  <c:v>0.38888888888888801</c:v>
                </c:pt>
                <c:pt idx="113">
                  <c:v>0.39236111111111022</c:v>
                </c:pt>
                <c:pt idx="114">
                  <c:v>0.39583333333333243</c:v>
                </c:pt>
                <c:pt idx="115">
                  <c:v>0.39930555555555464</c:v>
                </c:pt>
                <c:pt idx="116">
                  <c:v>0.40277777777777685</c:v>
                </c:pt>
                <c:pt idx="117">
                  <c:v>0.40624999999999906</c:v>
                </c:pt>
                <c:pt idx="118">
                  <c:v>0.40972222222222127</c:v>
                </c:pt>
                <c:pt idx="119">
                  <c:v>0.41319444444444348</c:v>
                </c:pt>
                <c:pt idx="120">
                  <c:v>0.41666666666666569</c:v>
                </c:pt>
                <c:pt idx="121">
                  <c:v>0.4201388888888879</c:v>
                </c:pt>
                <c:pt idx="122">
                  <c:v>0.42361111111111011</c:v>
                </c:pt>
                <c:pt idx="123">
                  <c:v>0.42708333333333232</c:v>
                </c:pt>
                <c:pt idx="124">
                  <c:v>0.43055555555555453</c:v>
                </c:pt>
                <c:pt idx="125">
                  <c:v>0.43402777777777674</c:v>
                </c:pt>
                <c:pt idx="126">
                  <c:v>0.43749999999999895</c:v>
                </c:pt>
                <c:pt idx="127">
                  <c:v>0.44097222222222116</c:v>
                </c:pt>
                <c:pt idx="128">
                  <c:v>0.44444444444444337</c:v>
                </c:pt>
                <c:pt idx="129">
                  <c:v>0.44791666666666557</c:v>
                </c:pt>
                <c:pt idx="130">
                  <c:v>0.45138888888888778</c:v>
                </c:pt>
                <c:pt idx="131">
                  <c:v>0.45486111111110999</c:v>
                </c:pt>
                <c:pt idx="132">
                  <c:v>0.4583333333333322</c:v>
                </c:pt>
                <c:pt idx="133">
                  <c:v>0.46180555555555441</c:v>
                </c:pt>
                <c:pt idx="134">
                  <c:v>0.46527777777777662</c:v>
                </c:pt>
                <c:pt idx="135">
                  <c:v>0.46874999999999883</c:v>
                </c:pt>
                <c:pt idx="136">
                  <c:v>0.47222222222222104</c:v>
                </c:pt>
                <c:pt idx="137">
                  <c:v>0.47569444444444325</c:v>
                </c:pt>
                <c:pt idx="138">
                  <c:v>0.47916666666666546</c:v>
                </c:pt>
                <c:pt idx="139">
                  <c:v>0.48263888888888767</c:v>
                </c:pt>
                <c:pt idx="140">
                  <c:v>0.48611111111110988</c:v>
                </c:pt>
                <c:pt idx="141">
                  <c:v>0.48958333333333209</c:v>
                </c:pt>
                <c:pt idx="142">
                  <c:v>0.4930555555555543</c:v>
                </c:pt>
                <c:pt idx="143">
                  <c:v>0.49652777777777651</c:v>
                </c:pt>
                <c:pt idx="144">
                  <c:v>0.49999999999999872</c:v>
                </c:pt>
                <c:pt idx="145">
                  <c:v>0.50347222222222099</c:v>
                </c:pt>
                <c:pt idx="146">
                  <c:v>0.5069444444444432</c:v>
                </c:pt>
                <c:pt idx="147">
                  <c:v>0.51041666666666541</c:v>
                </c:pt>
                <c:pt idx="148">
                  <c:v>0.51388888888888762</c:v>
                </c:pt>
                <c:pt idx="149">
                  <c:v>0.51736111111110983</c:v>
                </c:pt>
                <c:pt idx="150">
                  <c:v>0.52083333333333204</c:v>
                </c:pt>
                <c:pt idx="151">
                  <c:v>0.52430555555555425</c:v>
                </c:pt>
                <c:pt idx="152">
                  <c:v>0.52777777777777646</c:v>
                </c:pt>
                <c:pt idx="153">
                  <c:v>0.53124999999999867</c:v>
                </c:pt>
                <c:pt idx="154">
                  <c:v>0.53472222222222088</c:v>
                </c:pt>
                <c:pt idx="155">
                  <c:v>0.53819444444444309</c:v>
                </c:pt>
                <c:pt idx="156">
                  <c:v>0.5416666666666653</c:v>
                </c:pt>
                <c:pt idx="157">
                  <c:v>0.54513888888888751</c:v>
                </c:pt>
                <c:pt idx="158">
                  <c:v>0.54861111111110972</c:v>
                </c:pt>
                <c:pt idx="159">
                  <c:v>0.55208333333333193</c:v>
                </c:pt>
                <c:pt idx="160">
                  <c:v>0.55555555555555414</c:v>
                </c:pt>
                <c:pt idx="161">
                  <c:v>0.55902777777777635</c:v>
                </c:pt>
                <c:pt idx="162">
                  <c:v>0.56249999999999856</c:v>
                </c:pt>
                <c:pt idx="163">
                  <c:v>0.56597222222222077</c:v>
                </c:pt>
                <c:pt idx="164">
                  <c:v>0.56944444444444298</c:v>
                </c:pt>
                <c:pt idx="165">
                  <c:v>0.57291666666666519</c:v>
                </c:pt>
                <c:pt idx="166">
                  <c:v>0.5763888888888874</c:v>
                </c:pt>
                <c:pt idx="167">
                  <c:v>0.57986111111110961</c:v>
                </c:pt>
                <c:pt idx="168">
                  <c:v>0.58333333333333182</c:v>
                </c:pt>
                <c:pt idx="169">
                  <c:v>0.58680555555555403</c:v>
                </c:pt>
                <c:pt idx="170">
                  <c:v>0.59027777777777624</c:v>
                </c:pt>
                <c:pt idx="171">
                  <c:v>0.59374999999999845</c:v>
                </c:pt>
                <c:pt idx="172">
                  <c:v>0.59722222222222066</c:v>
                </c:pt>
                <c:pt idx="173">
                  <c:v>0.60069444444444287</c:v>
                </c:pt>
                <c:pt idx="174">
                  <c:v>0.60416666666666508</c:v>
                </c:pt>
                <c:pt idx="175">
                  <c:v>0.60763888888888729</c:v>
                </c:pt>
                <c:pt idx="176">
                  <c:v>0.6111111111111095</c:v>
                </c:pt>
                <c:pt idx="177">
                  <c:v>0.61458333333333171</c:v>
                </c:pt>
                <c:pt idx="178">
                  <c:v>0.61805555555555391</c:v>
                </c:pt>
                <c:pt idx="179">
                  <c:v>0.62152777777777612</c:v>
                </c:pt>
                <c:pt idx="180">
                  <c:v>0.62499999999999833</c:v>
                </c:pt>
                <c:pt idx="181">
                  <c:v>0.62847222222222054</c:v>
                </c:pt>
                <c:pt idx="182">
                  <c:v>0.63194444444444275</c:v>
                </c:pt>
                <c:pt idx="183">
                  <c:v>0.63541666666666496</c:v>
                </c:pt>
                <c:pt idx="184">
                  <c:v>0.63888888888888717</c:v>
                </c:pt>
                <c:pt idx="185">
                  <c:v>0.64236111111110938</c:v>
                </c:pt>
                <c:pt idx="186">
                  <c:v>0.64583333333333159</c:v>
                </c:pt>
                <c:pt idx="187">
                  <c:v>0.6493055555555538</c:v>
                </c:pt>
                <c:pt idx="188">
                  <c:v>0.65277777777777601</c:v>
                </c:pt>
                <c:pt idx="189">
                  <c:v>0.65624999999999822</c:v>
                </c:pt>
                <c:pt idx="190">
                  <c:v>0.65972222222222043</c:v>
                </c:pt>
                <c:pt idx="191">
                  <c:v>0.66319444444444264</c:v>
                </c:pt>
                <c:pt idx="192">
                  <c:v>0.66666666666666485</c:v>
                </c:pt>
                <c:pt idx="193">
                  <c:v>0.67013888888888706</c:v>
                </c:pt>
                <c:pt idx="194">
                  <c:v>0.67361111111110927</c:v>
                </c:pt>
                <c:pt idx="195">
                  <c:v>0.67708333333333148</c:v>
                </c:pt>
                <c:pt idx="196">
                  <c:v>0.68055555555555369</c:v>
                </c:pt>
                <c:pt idx="197">
                  <c:v>0.6840277777777759</c:v>
                </c:pt>
                <c:pt idx="198">
                  <c:v>0.68749999999999811</c:v>
                </c:pt>
                <c:pt idx="199">
                  <c:v>0.69097222222222032</c:v>
                </c:pt>
                <c:pt idx="200">
                  <c:v>0.69444444444444253</c:v>
                </c:pt>
                <c:pt idx="201">
                  <c:v>0.69791666666666474</c:v>
                </c:pt>
                <c:pt idx="202">
                  <c:v>0.70138888888888695</c:v>
                </c:pt>
                <c:pt idx="203">
                  <c:v>0.70486111111110916</c:v>
                </c:pt>
                <c:pt idx="204">
                  <c:v>0.70833333333333137</c:v>
                </c:pt>
                <c:pt idx="205">
                  <c:v>0.71180555555555358</c:v>
                </c:pt>
                <c:pt idx="206">
                  <c:v>0.71527777777777579</c:v>
                </c:pt>
                <c:pt idx="207">
                  <c:v>0.718749999999998</c:v>
                </c:pt>
                <c:pt idx="208">
                  <c:v>0.72222222222222021</c:v>
                </c:pt>
                <c:pt idx="209">
                  <c:v>0.72569444444444242</c:v>
                </c:pt>
                <c:pt idx="210">
                  <c:v>0.72916666666666463</c:v>
                </c:pt>
                <c:pt idx="211">
                  <c:v>0.73263888888888684</c:v>
                </c:pt>
                <c:pt idx="212">
                  <c:v>0.73611111111110905</c:v>
                </c:pt>
                <c:pt idx="213">
                  <c:v>0.73958333333333126</c:v>
                </c:pt>
                <c:pt idx="214">
                  <c:v>0.74305555555555347</c:v>
                </c:pt>
                <c:pt idx="215">
                  <c:v>0.74652777777777568</c:v>
                </c:pt>
                <c:pt idx="216">
                  <c:v>0.74999999999999789</c:v>
                </c:pt>
                <c:pt idx="217">
                  <c:v>0.7534722222222201</c:v>
                </c:pt>
                <c:pt idx="218">
                  <c:v>0.75694444444444231</c:v>
                </c:pt>
                <c:pt idx="219">
                  <c:v>0.76041666666666452</c:v>
                </c:pt>
                <c:pt idx="220">
                  <c:v>0.76388888888888673</c:v>
                </c:pt>
                <c:pt idx="221">
                  <c:v>0.76736111111110894</c:v>
                </c:pt>
                <c:pt idx="222">
                  <c:v>0.77083333333333115</c:v>
                </c:pt>
                <c:pt idx="223">
                  <c:v>0.77430555555555336</c:v>
                </c:pt>
                <c:pt idx="224">
                  <c:v>0.77777777777777557</c:v>
                </c:pt>
                <c:pt idx="225">
                  <c:v>0.78124999999999778</c:v>
                </c:pt>
                <c:pt idx="226">
                  <c:v>0.78472222222221999</c:v>
                </c:pt>
                <c:pt idx="227">
                  <c:v>0.7881944444444422</c:v>
                </c:pt>
                <c:pt idx="228">
                  <c:v>0.79166666666666441</c:v>
                </c:pt>
                <c:pt idx="229">
                  <c:v>0.79513888888888662</c:v>
                </c:pt>
                <c:pt idx="230">
                  <c:v>0.79861111111110883</c:v>
                </c:pt>
                <c:pt idx="231">
                  <c:v>0.80208333333333104</c:v>
                </c:pt>
                <c:pt idx="232">
                  <c:v>0.80555555555555325</c:v>
                </c:pt>
                <c:pt idx="233">
                  <c:v>0.80902777777777546</c:v>
                </c:pt>
                <c:pt idx="234">
                  <c:v>0.81249999999999767</c:v>
                </c:pt>
                <c:pt idx="235">
                  <c:v>0.81597222222221988</c:v>
                </c:pt>
                <c:pt idx="236">
                  <c:v>0.81944444444444209</c:v>
                </c:pt>
                <c:pt idx="237">
                  <c:v>0.8229166666666643</c:v>
                </c:pt>
                <c:pt idx="238">
                  <c:v>0.82638888888888651</c:v>
                </c:pt>
                <c:pt idx="239">
                  <c:v>0.82986111111110872</c:v>
                </c:pt>
                <c:pt idx="240">
                  <c:v>0.83333333333333093</c:v>
                </c:pt>
                <c:pt idx="241">
                  <c:v>0.83680555555555314</c:v>
                </c:pt>
                <c:pt idx="242">
                  <c:v>0.84027777777777535</c:v>
                </c:pt>
                <c:pt idx="243">
                  <c:v>0.84374999999999756</c:v>
                </c:pt>
                <c:pt idx="244">
                  <c:v>0.84722222222221977</c:v>
                </c:pt>
                <c:pt idx="245">
                  <c:v>0.85069444444444198</c:v>
                </c:pt>
                <c:pt idx="246">
                  <c:v>0.85416666666666419</c:v>
                </c:pt>
                <c:pt idx="247">
                  <c:v>0.8576388888888864</c:v>
                </c:pt>
                <c:pt idx="248">
                  <c:v>0.86111111111110861</c:v>
                </c:pt>
                <c:pt idx="249">
                  <c:v>0.86458333333333082</c:v>
                </c:pt>
                <c:pt idx="250">
                  <c:v>0.86805555555555303</c:v>
                </c:pt>
                <c:pt idx="251">
                  <c:v>0.87152777777777524</c:v>
                </c:pt>
                <c:pt idx="252">
                  <c:v>0.87499999999999745</c:v>
                </c:pt>
                <c:pt idx="253">
                  <c:v>0.87847222222221966</c:v>
                </c:pt>
                <c:pt idx="254">
                  <c:v>0.88194444444444187</c:v>
                </c:pt>
                <c:pt idx="255">
                  <c:v>0.88541666666666408</c:v>
                </c:pt>
                <c:pt idx="256">
                  <c:v>0.88888888888888629</c:v>
                </c:pt>
                <c:pt idx="257">
                  <c:v>0.8923611111111085</c:v>
                </c:pt>
                <c:pt idx="258">
                  <c:v>0.89583333333333071</c:v>
                </c:pt>
                <c:pt idx="259">
                  <c:v>0.89930555555555292</c:v>
                </c:pt>
                <c:pt idx="260">
                  <c:v>0.90277777777777513</c:v>
                </c:pt>
                <c:pt idx="261">
                  <c:v>0.90624999999999734</c:v>
                </c:pt>
                <c:pt idx="262">
                  <c:v>0.90972222222221955</c:v>
                </c:pt>
                <c:pt idx="263">
                  <c:v>0.91319444444444176</c:v>
                </c:pt>
                <c:pt idx="264">
                  <c:v>0.91666666666666397</c:v>
                </c:pt>
                <c:pt idx="265">
                  <c:v>0.92013888888888618</c:v>
                </c:pt>
                <c:pt idx="266">
                  <c:v>0.92361111111110838</c:v>
                </c:pt>
                <c:pt idx="267">
                  <c:v>0.92708333333333059</c:v>
                </c:pt>
                <c:pt idx="268">
                  <c:v>0.9305555555555528</c:v>
                </c:pt>
                <c:pt idx="269">
                  <c:v>0.93402777777777501</c:v>
                </c:pt>
                <c:pt idx="270">
                  <c:v>0.93749999999999722</c:v>
                </c:pt>
                <c:pt idx="271">
                  <c:v>0.94097222222221943</c:v>
                </c:pt>
                <c:pt idx="272">
                  <c:v>0.94444444444444164</c:v>
                </c:pt>
                <c:pt idx="273">
                  <c:v>0.94791666666666385</c:v>
                </c:pt>
                <c:pt idx="274">
                  <c:v>0.95138888888888606</c:v>
                </c:pt>
                <c:pt idx="275">
                  <c:v>0.95486111111110827</c:v>
                </c:pt>
                <c:pt idx="276">
                  <c:v>0.95833333333333048</c:v>
                </c:pt>
                <c:pt idx="277">
                  <c:v>0.96180555555555269</c:v>
                </c:pt>
                <c:pt idx="278">
                  <c:v>0.9652777777777749</c:v>
                </c:pt>
                <c:pt idx="279">
                  <c:v>0.96874999999999711</c:v>
                </c:pt>
                <c:pt idx="280">
                  <c:v>0.97222222222221932</c:v>
                </c:pt>
                <c:pt idx="281">
                  <c:v>0.97569444444444153</c:v>
                </c:pt>
                <c:pt idx="282">
                  <c:v>0.97916666666666374</c:v>
                </c:pt>
                <c:pt idx="283">
                  <c:v>0.98263888888888595</c:v>
                </c:pt>
                <c:pt idx="284">
                  <c:v>0.98611111111110816</c:v>
                </c:pt>
                <c:pt idx="285">
                  <c:v>0.98958333333333037</c:v>
                </c:pt>
                <c:pt idx="286">
                  <c:v>0.99305555555555258</c:v>
                </c:pt>
                <c:pt idx="287">
                  <c:v>0.99652777777777479</c:v>
                </c:pt>
                <c:pt idx="288">
                  <c:v>0.999999999999997</c:v>
                </c:pt>
              </c:numCache>
            </c:numRef>
          </c:xVal>
          <c:yVal>
            <c:numRef>
              <c:f>Output!$C$2:$C$290</c:f>
              <c:numCache>
                <c:formatCode>0.00</c:formatCode>
                <c:ptCount val="289"/>
                <c:pt idx="0">
                  <c:v>0</c:v>
                </c:pt>
                <c:pt idx="1">
                  <c:v>0.12452652496205485</c:v>
                </c:pt>
                <c:pt idx="2">
                  <c:v>0.22358171527278031</c:v>
                </c:pt>
                <c:pt idx="3">
                  <c:v>0.3188633745240495</c:v>
                </c:pt>
                <c:pt idx="4">
                  <c:v>0.41037150271586259</c:v>
                </c:pt>
                <c:pt idx="5">
                  <c:v>0.49810609984821941</c:v>
                </c:pt>
                <c:pt idx="6">
                  <c:v>0.58301054868598401</c:v>
                </c:pt>
                <c:pt idx="7">
                  <c:v>0.66791499752374861</c:v>
                </c:pt>
                <c:pt idx="8">
                  <c:v>0.75753636018583359</c:v>
                </c:pt>
                <c:pt idx="9">
                  <c:v>0.85093125390737467</c:v>
                </c:pt>
                <c:pt idx="10">
                  <c:v>0.94809967868837208</c:v>
                </c:pt>
                <c:pt idx="11">
                  <c:v>1.0490416345288256</c:v>
                </c:pt>
                <c:pt idx="12">
                  <c:v>1.1584740352530558</c:v>
                </c:pt>
                <c:pt idx="13">
                  <c:v>1.2905476223340231</c:v>
                </c:pt>
                <c:pt idx="14">
                  <c:v>1.4273381232393108</c:v>
                </c:pt>
                <c:pt idx="15">
                  <c:v>1.5679021552040544</c:v>
                </c:pt>
                <c:pt idx="16">
                  <c:v>1.7122397182282543</c:v>
                </c:pt>
                <c:pt idx="17">
                  <c:v>1.8603508123119106</c:v>
                </c:pt>
                <c:pt idx="18">
                  <c:v>2.0094052891604308</c:v>
                </c:pt>
                <c:pt idx="19">
                  <c:v>2.1509127038900382</c:v>
                </c:pt>
                <c:pt idx="20">
                  <c:v>2.292420118619646</c:v>
                </c:pt>
                <c:pt idx="21">
                  <c:v>2.4301540022897976</c:v>
                </c:pt>
                <c:pt idx="22">
                  <c:v>2.5726047997842696</c:v>
                </c:pt>
                <c:pt idx="23">
                  <c:v>2.7169423628084695</c:v>
                </c:pt>
                <c:pt idx="24">
                  <c:v>2.8593931603029414</c:v>
                </c:pt>
                <c:pt idx="25">
                  <c:v>3.0056174888568696</c:v>
                </c:pt>
                <c:pt idx="26">
                  <c:v>3.1565587312351182</c:v>
                </c:pt>
                <c:pt idx="27">
                  <c:v>3.3074999736133659</c:v>
                </c:pt>
                <c:pt idx="28">
                  <c:v>3.4612713642862065</c:v>
                </c:pt>
                <c:pt idx="29">
                  <c:v>3.6150427549590471</c:v>
                </c:pt>
                <c:pt idx="30">
                  <c:v>3.7659839973372953</c:v>
                </c:pt>
                <c:pt idx="31">
                  <c:v>3.9169252397155434</c:v>
                </c:pt>
                <c:pt idx="32">
                  <c:v>4.067866482093792</c:v>
                </c:pt>
                <c:pt idx="33">
                  <c:v>4.2188077244720406</c:v>
                </c:pt>
                <c:pt idx="34">
                  <c:v>4.3697489668502882</c:v>
                </c:pt>
                <c:pt idx="35">
                  <c:v>4.5206902092285368</c:v>
                </c:pt>
                <c:pt idx="36">
                  <c:v>4.6706880688419208</c:v>
                </c:pt>
                <c:pt idx="37">
                  <c:v>4.8169123973958481</c:v>
                </c:pt>
                <c:pt idx="38">
                  <c:v>4.9678536397740967</c:v>
                </c:pt>
                <c:pt idx="39">
                  <c:v>5.1187948821523452</c:v>
                </c:pt>
                <c:pt idx="40">
                  <c:v>5.2697361245305938</c:v>
                </c:pt>
                <c:pt idx="41">
                  <c:v>5.4225641324385707</c:v>
                </c:pt>
                <c:pt idx="42">
                  <c:v>5.5801090541708671</c:v>
                </c:pt>
                <c:pt idx="43">
                  <c:v>5.7452010380220759</c:v>
                </c:pt>
                <c:pt idx="44">
                  <c:v>5.9150099356976042</c:v>
                </c:pt>
                <c:pt idx="45">
                  <c:v>6.0810453023136777</c:v>
                </c:pt>
                <c:pt idx="46">
                  <c:v>6.2517975827540706</c:v>
                </c:pt>
                <c:pt idx="47">
                  <c:v>6.4263233942539202</c:v>
                </c:pt>
                <c:pt idx="48">
                  <c:v>6.6008492057537698</c:v>
                </c:pt>
                <c:pt idx="49">
                  <c:v>6.7753750172536193</c:v>
                </c:pt>
                <c:pt idx="50">
                  <c:v>6.9499008287534689</c:v>
                </c:pt>
                <c:pt idx="51">
                  <c:v>7.1282001713127752</c:v>
                </c:pt>
                <c:pt idx="52">
                  <c:v>7.3102730449315363</c:v>
                </c:pt>
                <c:pt idx="53">
                  <c:v>7.4942326840800266</c:v>
                </c:pt>
                <c:pt idx="54">
                  <c:v>7.6791357059933825</c:v>
                </c:pt>
                <c:pt idx="55">
                  <c:v>7.8678122589661923</c:v>
                </c:pt>
                <c:pt idx="56">
                  <c:v>8.0612057257633225</c:v>
                </c:pt>
                <c:pt idx="57">
                  <c:v>8.2583727236199103</c:v>
                </c:pt>
                <c:pt idx="58">
                  <c:v>8.4593132525359529</c:v>
                </c:pt>
                <c:pt idx="59">
                  <c:v>8.664027312511454</c:v>
                </c:pt>
                <c:pt idx="60">
                  <c:v>8.8734582863112728</c:v>
                </c:pt>
                <c:pt idx="61">
                  <c:v>9.0904363222300049</c:v>
                </c:pt>
                <c:pt idx="62">
                  <c:v>9.3121312719730582</c:v>
                </c:pt>
                <c:pt idx="63">
                  <c:v>9.5375997527755665</c:v>
                </c:pt>
                <c:pt idx="64">
                  <c:v>9.7668417646375296</c:v>
                </c:pt>
                <c:pt idx="65">
                  <c:v>9.9998573075589512</c:v>
                </c:pt>
                <c:pt idx="66">
                  <c:v>10.2347596160101</c:v>
                </c:pt>
                <c:pt idx="67">
                  <c:v>10.465888393401794</c:v>
                </c:pt>
                <c:pt idx="68">
                  <c:v>10.706450998442127</c:v>
                </c:pt>
                <c:pt idx="69">
                  <c:v>10.950787134541917</c:v>
                </c:pt>
                <c:pt idx="70">
                  <c:v>11.198896801701164</c:v>
                </c:pt>
                <c:pt idx="71">
                  <c:v>11.452666765449592</c:v>
                </c:pt>
                <c:pt idx="72">
                  <c:v>11.716813939611527</c:v>
                </c:pt>
                <c:pt idx="73">
                  <c:v>11.999828769070742</c:v>
                </c:pt>
                <c:pt idx="74">
                  <c:v>12.287560512354277</c:v>
                </c:pt>
                <c:pt idx="75">
                  <c:v>12.579065786697271</c:v>
                </c:pt>
                <c:pt idx="76">
                  <c:v>12.874344592099717</c:v>
                </c:pt>
                <c:pt idx="77">
                  <c:v>13.173396928561623</c:v>
                </c:pt>
                <c:pt idx="78">
                  <c:v>13.470562499493798</c:v>
                </c:pt>
                <c:pt idx="79">
                  <c:v>13.748860415128695</c:v>
                </c:pt>
                <c:pt idx="80">
                  <c:v>14.027158330763589</c:v>
                </c:pt>
                <c:pt idx="81">
                  <c:v>14.313003308517398</c:v>
                </c:pt>
                <c:pt idx="82">
                  <c:v>14.60922549668471</c:v>
                </c:pt>
                <c:pt idx="83">
                  <c:v>14.916768278030391</c:v>
                </c:pt>
                <c:pt idx="84">
                  <c:v>15.237518418084168</c:v>
                </c:pt>
                <c:pt idx="85">
                  <c:v>15.577136213435226</c:v>
                </c:pt>
                <c:pt idx="86">
                  <c:v>15.940338577907884</c:v>
                </c:pt>
                <c:pt idx="87">
                  <c:v>16.326182128737283</c:v>
                </c:pt>
                <c:pt idx="88">
                  <c:v>16.737497014218011</c:v>
                </c:pt>
                <c:pt idx="89">
                  <c:v>17.177113382644659</c:v>
                </c:pt>
                <c:pt idx="90">
                  <c:v>17.748803338152275</c:v>
                </c:pt>
                <c:pt idx="91">
                  <c:v>18.758222896556809</c:v>
                </c:pt>
                <c:pt idx="92">
                  <c:v>19.85726381762343</c:v>
                </c:pt>
                <c:pt idx="93">
                  <c:v>20.9864929871657</c:v>
                </c:pt>
                <c:pt idx="94">
                  <c:v>22.114778773943108</c:v>
                </c:pt>
                <c:pt idx="95">
                  <c:v>23.210989546715133</c:v>
                </c:pt>
                <c:pt idx="96">
                  <c:v>24.192107622173747</c:v>
                </c:pt>
                <c:pt idx="97">
                  <c:v>24.871343212875864</c:v>
                </c:pt>
                <c:pt idx="98">
                  <c:v>25.451523613267256</c:v>
                </c:pt>
                <c:pt idx="99">
                  <c:v>25.967553985647893</c:v>
                </c:pt>
                <c:pt idx="100">
                  <c:v>26.43075492319614</c:v>
                </c:pt>
                <c:pt idx="101">
                  <c:v>26.852447019090373</c:v>
                </c:pt>
                <c:pt idx="102">
                  <c:v>27.254328076922459</c:v>
                </c:pt>
                <c:pt idx="103">
                  <c:v>27.678850321111284</c:v>
                </c:pt>
                <c:pt idx="104">
                  <c:v>28.079787996178506</c:v>
                </c:pt>
                <c:pt idx="105">
                  <c:v>28.461858015948444</c:v>
                </c:pt>
                <c:pt idx="106">
                  <c:v>28.825060380421107</c:v>
                </c:pt>
                <c:pt idx="107">
                  <c:v>29.169395089596485</c:v>
                </c:pt>
                <c:pt idx="108">
                  <c:v>29.495805526239447</c:v>
                </c:pt>
                <c:pt idx="109">
                  <c:v>29.80712183864458</c:v>
                </c:pt>
                <c:pt idx="110">
                  <c:v>30.104287409576763</c:v>
                </c:pt>
                <c:pt idx="111">
                  <c:v>30.390132387330571</c:v>
                </c:pt>
                <c:pt idx="112">
                  <c:v>30.664656771906003</c:v>
                </c:pt>
                <c:pt idx="113">
                  <c:v>30.927860563303074</c:v>
                </c:pt>
                <c:pt idx="114">
                  <c:v>31.184460675346099</c:v>
                </c:pt>
                <c:pt idx="115">
                  <c:v>31.448607849508029</c:v>
                </c:pt>
                <c:pt idx="116">
                  <c:v>31.712755023669967</c:v>
                </c:pt>
                <c:pt idx="117">
                  <c:v>31.969355135712984</c:v>
                </c:pt>
                <c:pt idx="118">
                  <c:v>32.218408185637088</c:v>
                </c:pt>
                <c:pt idx="119">
                  <c:v>32.463687704501744</c:v>
                </c:pt>
                <c:pt idx="120">
                  <c:v>32.707080457836668</c:v>
                </c:pt>
                <c:pt idx="121">
                  <c:v>32.942926149052681</c:v>
                </c:pt>
                <c:pt idx="122">
                  <c:v>33.169338012620052</c:v>
                </c:pt>
                <c:pt idx="123">
                  <c:v>33.395749876187423</c:v>
                </c:pt>
                <c:pt idx="124">
                  <c:v>33.622161739754802</c:v>
                </c:pt>
                <c:pt idx="125">
                  <c:v>33.844800072262714</c:v>
                </c:pt>
                <c:pt idx="126">
                  <c:v>34.063664873711176</c:v>
                </c:pt>
                <c:pt idx="127">
                  <c:v>34.290076737278547</c:v>
                </c:pt>
                <c:pt idx="128">
                  <c:v>34.507054773197282</c:v>
                </c:pt>
                <c:pt idx="129">
                  <c:v>34.724032809116018</c:v>
                </c:pt>
                <c:pt idx="130">
                  <c:v>34.941010845034747</c:v>
                </c:pt>
                <c:pt idx="131">
                  <c:v>35.154215349894024</c:v>
                </c:pt>
                <c:pt idx="132">
                  <c:v>35.361759558164117</c:v>
                </c:pt>
                <c:pt idx="133">
                  <c:v>35.569303766434203</c:v>
                </c:pt>
                <c:pt idx="134">
                  <c:v>35.767414147055661</c:v>
                </c:pt>
                <c:pt idx="135">
                  <c:v>35.965524527677118</c:v>
                </c:pt>
                <c:pt idx="136">
                  <c:v>36.163634908298569</c:v>
                </c:pt>
                <c:pt idx="137">
                  <c:v>36.357971757860561</c:v>
                </c:pt>
                <c:pt idx="138">
                  <c:v>36.54570492806851</c:v>
                </c:pt>
                <c:pt idx="139">
                  <c:v>36.729664567217</c:v>
                </c:pt>
                <c:pt idx="140">
                  <c:v>36.908907292541166</c:v>
                </c:pt>
                <c:pt idx="141">
                  <c:v>37.088150017865338</c:v>
                </c:pt>
                <c:pt idx="142">
                  <c:v>37.267392743189504</c:v>
                </c:pt>
                <c:pt idx="143">
                  <c:v>37.444748702983944</c:v>
                </c:pt>
                <c:pt idx="144">
                  <c:v>37.619274514483791</c:v>
                </c:pt>
                <c:pt idx="145">
                  <c:v>37.793800325983639</c:v>
                </c:pt>
                <c:pt idx="146">
                  <c:v>37.973043051307805</c:v>
                </c:pt>
                <c:pt idx="147">
                  <c:v>38.152285776631977</c:v>
                </c:pt>
                <c:pt idx="148">
                  <c:v>38.331528501956143</c:v>
                </c:pt>
                <c:pt idx="149">
                  <c:v>38.512657992810041</c:v>
                </c:pt>
                <c:pt idx="150">
                  <c:v>38.693787483663939</c:v>
                </c:pt>
                <c:pt idx="151">
                  <c:v>38.86359638133947</c:v>
                </c:pt>
                <c:pt idx="152">
                  <c:v>39.038122192839317</c:v>
                </c:pt>
                <c:pt idx="153">
                  <c:v>39.208874473279714</c:v>
                </c:pt>
                <c:pt idx="154">
                  <c:v>39.375853222660652</c:v>
                </c:pt>
                <c:pt idx="155">
                  <c:v>39.54283197204159</c:v>
                </c:pt>
                <c:pt idx="156">
                  <c:v>39.713584252481986</c:v>
                </c:pt>
                <c:pt idx="157">
                  <c:v>39.888110063981834</c:v>
                </c:pt>
                <c:pt idx="158">
                  <c:v>40.062635875481682</c:v>
                </c:pt>
                <c:pt idx="159">
                  <c:v>40.233388155922079</c:v>
                </c:pt>
                <c:pt idx="160">
                  <c:v>40.400366905303017</c:v>
                </c:pt>
                <c:pt idx="161">
                  <c:v>40.565458889154229</c:v>
                </c:pt>
                <c:pt idx="162">
                  <c:v>40.730550873005441</c:v>
                </c:pt>
                <c:pt idx="163">
                  <c:v>40.895642856856654</c:v>
                </c:pt>
                <c:pt idx="164">
                  <c:v>41.056017926883541</c:v>
                </c:pt>
                <c:pt idx="165">
                  <c:v>41.216392996910422</c:v>
                </c:pt>
                <c:pt idx="166">
                  <c:v>41.373937918642717</c:v>
                </c:pt>
                <c:pt idx="167">
                  <c:v>41.531482840375013</c:v>
                </c:pt>
                <c:pt idx="168">
                  <c:v>41.691857910401893</c:v>
                </c:pt>
                <c:pt idx="169">
                  <c:v>41.852232980428781</c:v>
                </c:pt>
                <c:pt idx="170">
                  <c:v>42.012608050455668</c:v>
                </c:pt>
                <c:pt idx="171">
                  <c:v>42.169209589423104</c:v>
                </c:pt>
                <c:pt idx="172">
                  <c:v>42.327697893920266</c:v>
                </c:pt>
                <c:pt idx="173">
                  <c:v>42.486186198417428</c:v>
                </c:pt>
                <c:pt idx="174">
                  <c:v>42.641844354619991</c:v>
                </c:pt>
                <c:pt idx="175">
                  <c:v>42.797502510822561</c:v>
                </c:pt>
                <c:pt idx="176">
                  <c:v>42.953160667025131</c:v>
                </c:pt>
                <c:pt idx="177">
                  <c:v>43.108818823227701</c:v>
                </c:pt>
                <c:pt idx="178">
                  <c:v>43.26447697943027</c:v>
                </c:pt>
                <c:pt idx="179">
                  <c:v>43.418248370103107</c:v>
                </c:pt>
                <c:pt idx="180">
                  <c:v>43.570132995246219</c:v>
                </c:pt>
                <c:pt idx="181">
                  <c:v>43.725791151448789</c:v>
                </c:pt>
                <c:pt idx="182">
                  <c:v>43.876732393827034</c:v>
                </c:pt>
                <c:pt idx="183">
                  <c:v>44.027673636205293</c:v>
                </c:pt>
                <c:pt idx="184">
                  <c:v>44.178614878583538</c:v>
                </c:pt>
                <c:pt idx="185">
                  <c:v>44.32955612096179</c:v>
                </c:pt>
                <c:pt idx="186">
                  <c:v>44.480497363340042</c:v>
                </c:pt>
                <c:pt idx="187">
                  <c:v>44.631438605718287</c:v>
                </c:pt>
                <c:pt idx="188">
                  <c:v>44.777662934272215</c:v>
                </c:pt>
                <c:pt idx="189">
                  <c:v>44.923887262826142</c:v>
                </c:pt>
                <c:pt idx="190">
                  <c:v>45.072941739674661</c:v>
                </c:pt>
                <c:pt idx="191">
                  <c:v>45.221996216523181</c:v>
                </c:pt>
                <c:pt idx="192">
                  <c:v>45.368220545077108</c:v>
                </c:pt>
                <c:pt idx="193">
                  <c:v>45.514444873631035</c:v>
                </c:pt>
                <c:pt idx="194">
                  <c:v>45.655952288360638</c:v>
                </c:pt>
                <c:pt idx="195">
                  <c:v>45.801233234149706</c:v>
                </c:pt>
                <c:pt idx="196">
                  <c:v>45.944627414409048</c:v>
                </c:pt>
                <c:pt idx="197">
                  <c:v>46.088021594668383</c:v>
                </c:pt>
                <c:pt idx="198">
                  <c:v>46.233302540457444</c:v>
                </c:pt>
                <c:pt idx="199">
                  <c:v>46.374809955187054</c:v>
                </c:pt>
                <c:pt idx="200">
                  <c:v>46.516317369916663</c:v>
                </c:pt>
                <c:pt idx="201">
                  <c:v>46.654051253586815</c:v>
                </c:pt>
                <c:pt idx="202">
                  <c:v>46.793671902786691</c:v>
                </c:pt>
                <c:pt idx="203">
                  <c:v>46.935179317516301</c:v>
                </c:pt>
                <c:pt idx="204">
                  <c:v>47.075743349481044</c:v>
                </c:pt>
                <c:pt idx="205">
                  <c:v>47.212533850386329</c:v>
                </c:pt>
                <c:pt idx="206">
                  <c:v>47.349324351291614</c:v>
                </c:pt>
                <c:pt idx="207">
                  <c:v>47.486114852196906</c:v>
                </c:pt>
                <c:pt idx="208">
                  <c:v>47.622905353102198</c:v>
                </c:pt>
                <c:pt idx="209">
                  <c:v>47.759695854007482</c:v>
                </c:pt>
                <c:pt idx="210">
                  <c:v>47.896486354912767</c:v>
                </c:pt>
                <c:pt idx="211">
                  <c:v>48.033276855818059</c:v>
                </c:pt>
                <c:pt idx="212">
                  <c:v>48.165350442899026</c:v>
                </c:pt>
                <c:pt idx="213">
                  <c:v>48.297424029979993</c:v>
                </c:pt>
                <c:pt idx="214">
                  <c:v>48.42949761706096</c:v>
                </c:pt>
                <c:pt idx="215">
                  <c:v>48.561571204141934</c:v>
                </c:pt>
                <c:pt idx="216">
                  <c:v>48.693644791222908</c:v>
                </c:pt>
                <c:pt idx="217">
                  <c:v>48.825718378303876</c:v>
                </c:pt>
                <c:pt idx="218">
                  <c:v>48.957791965384843</c:v>
                </c:pt>
                <c:pt idx="219">
                  <c:v>49.086092021406351</c:v>
                </c:pt>
                <c:pt idx="220">
                  <c:v>49.216278842957585</c:v>
                </c:pt>
                <c:pt idx="221">
                  <c:v>49.346465664508827</c:v>
                </c:pt>
                <c:pt idx="222">
                  <c:v>49.473822337765469</c:v>
                </c:pt>
                <c:pt idx="223">
                  <c:v>49.601179011022111</c:v>
                </c:pt>
                <c:pt idx="224">
                  <c:v>49.728535684278754</c:v>
                </c:pt>
                <c:pt idx="225">
                  <c:v>49.855892357535403</c:v>
                </c:pt>
                <c:pt idx="226">
                  <c:v>49.983249030792045</c:v>
                </c:pt>
                <c:pt idx="227">
                  <c:v>50.108718938518962</c:v>
                </c:pt>
                <c:pt idx="228">
                  <c:v>50.231358697951286</c:v>
                </c:pt>
                <c:pt idx="229">
                  <c:v>50.353998457383611</c:v>
                </c:pt>
                <c:pt idx="230">
                  <c:v>50.48135513064026</c:v>
                </c:pt>
                <c:pt idx="231">
                  <c:v>50.604938272837451</c:v>
                </c:pt>
                <c:pt idx="232">
                  <c:v>50.724747883975184</c:v>
                </c:pt>
                <c:pt idx="233">
                  <c:v>50.844557495112916</c:v>
                </c:pt>
                <c:pt idx="234">
                  <c:v>50.967197254545241</c:v>
                </c:pt>
                <c:pt idx="235">
                  <c:v>51.089837013977565</c:v>
                </c:pt>
                <c:pt idx="236">
                  <c:v>51.207759859585572</c:v>
                </c:pt>
                <c:pt idx="237">
                  <c:v>51.325682705193579</c:v>
                </c:pt>
                <c:pt idx="238">
                  <c:v>51.443605550801585</c:v>
                </c:pt>
                <c:pt idx="239">
                  <c:v>51.561528396409599</c:v>
                </c:pt>
                <c:pt idx="240">
                  <c:v>51.679451242017599</c:v>
                </c:pt>
                <c:pt idx="241">
                  <c:v>51.797374087625613</c:v>
                </c:pt>
                <c:pt idx="242">
                  <c:v>51.91529693323362</c:v>
                </c:pt>
                <c:pt idx="243">
                  <c:v>52.029446247782168</c:v>
                </c:pt>
                <c:pt idx="244">
                  <c:v>52.145482327860449</c:v>
                </c:pt>
                <c:pt idx="245">
                  <c:v>52.26151840793873</c:v>
                </c:pt>
                <c:pt idx="246">
                  <c:v>52.37472433972242</c:v>
                </c:pt>
                <c:pt idx="247">
                  <c:v>52.487930271506109</c:v>
                </c:pt>
                <c:pt idx="248">
                  <c:v>52.601136203289798</c:v>
                </c:pt>
                <c:pt idx="249">
                  <c:v>52.714342135073487</c:v>
                </c:pt>
                <c:pt idx="250">
                  <c:v>52.824717918562584</c:v>
                </c:pt>
                <c:pt idx="251">
                  <c:v>52.935093702051681</c:v>
                </c:pt>
                <c:pt idx="252">
                  <c:v>53.047356251070497</c:v>
                </c:pt>
                <c:pt idx="253">
                  <c:v>53.155845269029868</c:v>
                </c:pt>
                <c:pt idx="254">
                  <c:v>53.264334286989232</c:v>
                </c:pt>
                <c:pt idx="255">
                  <c:v>53.372823304948589</c:v>
                </c:pt>
                <c:pt idx="256">
                  <c:v>53.481312322907954</c:v>
                </c:pt>
                <c:pt idx="257">
                  <c:v>53.587914575337592</c:v>
                </c:pt>
                <c:pt idx="258">
                  <c:v>53.692630062237505</c:v>
                </c:pt>
                <c:pt idx="259">
                  <c:v>53.80111908019687</c:v>
                </c:pt>
                <c:pt idx="260">
                  <c:v>53.904891184331916</c:v>
                </c:pt>
                <c:pt idx="261">
                  <c:v>54.012436819526414</c:v>
                </c:pt>
                <c:pt idx="262">
                  <c:v>54.118095689191186</c:v>
                </c:pt>
                <c:pt idx="263">
                  <c:v>54.22186779332624</c:v>
                </c:pt>
                <c:pt idx="264">
                  <c:v>54.324696514696413</c:v>
                </c:pt>
                <c:pt idx="265">
                  <c:v>54.423751705007142</c:v>
                </c:pt>
                <c:pt idx="266">
                  <c:v>54.527523809142188</c:v>
                </c:pt>
                <c:pt idx="267">
                  <c:v>54.627522382217776</c:v>
                </c:pt>
                <c:pt idx="268">
                  <c:v>54.729407720823097</c:v>
                </c:pt>
                <c:pt idx="269">
                  <c:v>54.831293059428418</c:v>
                </c:pt>
                <c:pt idx="270">
                  <c:v>54.93034824973914</c:v>
                </c:pt>
                <c:pt idx="271">
                  <c:v>55.029403440049869</c:v>
                </c:pt>
                <c:pt idx="272">
                  <c:v>55.128458630360605</c:v>
                </c:pt>
                <c:pt idx="273">
                  <c:v>55.227513820671327</c:v>
                </c:pt>
                <c:pt idx="274">
                  <c:v>55.323738862687463</c:v>
                </c:pt>
                <c:pt idx="275">
                  <c:v>55.418077139173867</c:v>
                </c:pt>
                <c:pt idx="276">
                  <c:v>55.513358798425131</c:v>
                </c:pt>
                <c:pt idx="277">
                  <c:v>55.61241398873586</c:v>
                </c:pt>
                <c:pt idx="278">
                  <c:v>55.706752265222264</c:v>
                </c:pt>
                <c:pt idx="279">
                  <c:v>55.801090541708668</c:v>
                </c:pt>
                <c:pt idx="280">
                  <c:v>55.89259866990048</c:v>
                </c:pt>
                <c:pt idx="281">
                  <c:v>55.984106798092292</c:v>
                </c:pt>
                <c:pt idx="282">
                  <c:v>56.078445074578696</c:v>
                </c:pt>
                <c:pt idx="283">
                  <c:v>56.1727833510651</c:v>
                </c:pt>
                <c:pt idx="284">
                  <c:v>56.262404713727186</c:v>
                </c:pt>
                <c:pt idx="285">
                  <c:v>56.352026076389265</c:v>
                </c:pt>
                <c:pt idx="286">
                  <c:v>56.441647439051351</c:v>
                </c:pt>
                <c:pt idx="287">
                  <c:v>56.531268801713438</c:v>
                </c:pt>
                <c:pt idx="288">
                  <c:v>56.602965891843105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AF-4F3E-BCDA-4B2C19C05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201680"/>
        <c:axId val="2127940784"/>
      </c:scatterChart>
      <c:valAx>
        <c:axId val="2126767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(hh:mm)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h: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766192"/>
        <c:crosses val="autoZero"/>
        <c:crossBetween val="midCat"/>
      </c:valAx>
      <c:valAx>
        <c:axId val="212676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Intensity (mm/hr)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6767152"/>
        <c:crosses val="autoZero"/>
        <c:crossBetween val="midCat"/>
      </c:valAx>
      <c:valAx>
        <c:axId val="212794078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Cumulative Depth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201680"/>
        <c:crosses val="max"/>
        <c:crossBetween val="midCat"/>
      </c:valAx>
      <c:valAx>
        <c:axId val="290201680"/>
        <c:scaling>
          <c:orientation val="minMax"/>
        </c:scaling>
        <c:delete val="1"/>
        <c:axPos val="b"/>
        <c:numFmt formatCode="h:mm;@" sourceLinked="1"/>
        <c:majorTickMark val="out"/>
        <c:minorTickMark val="none"/>
        <c:tickLblPos val="nextTo"/>
        <c:crossAx val="2127940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4.svg"/><Relationship Id="rId5" Type="http://schemas.openxmlformats.org/officeDocument/2006/relationships/image" Target="../media/image3.png"/><Relationship Id="rId4" Type="http://schemas.openxmlformats.org/officeDocument/2006/relationships/image" Target="../media/image6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295275</xdr:colOff>
      <xdr:row>1</xdr:row>
      <xdr:rowOff>133350</xdr:rowOff>
    </xdr:from>
    <xdr:to>
      <xdr:col>6</xdr:col>
      <xdr:colOff>777240</xdr:colOff>
      <xdr:row>4</xdr:row>
      <xdr:rowOff>0</xdr:rowOff>
    </xdr:to>
    <xdr:pic macro="[0]!ExportTimeseries">
      <xdr:nvPicPr>
        <xdr:cNvPr id="2" name="Graphic 1" descr="Back with solid fill">
          <a:extLst>
            <a:ext uri="{FF2B5EF4-FFF2-40B4-BE49-F238E27FC236}">
              <a16:creationId xmlns:a16="http://schemas.microsoft.com/office/drawing/2014/main" id="{4AA8E9BE-57B7-4870-A948-9CB8A9BE4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915650" y="323850"/>
          <a:ext cx="481965" cy="464820"/>
        </a:xfrm>
        <a:prstGeom prst="rect">
          <a:avLst/>
        </a:prstGeom>
      </xdr:spPr>
    </xdr:pic>
    <xdr:clientData/>
  </xdr:twoCellAnchor>
  <xdr:twoCellAnchor>
    <xdr:from>
      <xdr:col>6</xdr:col>
      <xdr:colOff>1111667</xdr:colOff>
      <xdr:row>0</xdr:row>
      <xdr:rowOff>17220</xdr:rowOff>
    </xdr:from>
    <xdr:to>
      <xdr:col>8</xdr:col>
      <xdr:colOff>95250</xdr:colOff>
      <xdr:row>2</xdr:row>
      <xdr:rowOff>136372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901B2EB-3B1C-3AA1-4803-4C2381C6220F}"/>
            </a:ext>
          </a:extLst>
        </xdr:cNvPr>
        <xdr:cNvSpPr txBox="1"/>
      </xdr:nvSpPr>
      <xdr:spPr>
        <a:xfrm>
          <a:off x="11735705" y="17220"/>
          <a:ext cx="1137699" cy="5074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900"/>
            <a:t>[Paste folder</a:t>
          </a:r>
          <a:r>
            <a:rPr lang="en-CA" sz="900" baseline="0"/>
            <a:t> path]</a:t>
          </a:r>
          <a:endParaRPr lang="en-CA" sz="900"/>
        </a:p>
      </xdr:txBody>
    </xdr:sp>
    <xdr:clientData/>
  </xdr:twoCellAnchor>
  <xdr:twoCellAnchor>
    <xdr:from>
      <xdr:col>7</xdr:col>
      <xdr:colOff>267462</xdr:colOff>
      <xdr:row>0</xdr:row>
      <xdr:rowOff>134169</xdr:rowOff>
    </xdr:from>
    <xdr:to>
      <xdr:col>7</xdr:col>
      <xdr:colOff>789599</xdr:colOff>
      <xdr:row>3</xdr:row>
      <xdr:rowOff>4322</xdr:rowOff>
    </xdr:to>
    <xdr:pic macro="[0]!ExportTimeseries_Text">
      <xdr:nvPicPr>
        <xdr:cNvPr id="4" name="Graphic 3" descr="Back with solid fill">
          <a:extLst>
            <a:ext uri="{FF2B5EF4-FFF2-40B4-BE49-F238E27FC236}">
              <a16:creationId xmlns:a16="http://schemas.microsoft.com/office/drawing/2014/main" id="{096AF1B9-21E9-BFF9-AAA7-E5356AE75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05193" y="134169"/>
          <a:ext cx="522137" cy="456307"/>
        </a:xfrm>
        <a:prstGeom prst="rect">
          <a:avLst/>
        </a:prstGeom>
      </xdr:spPr>
    </xdr:pic>
    <xdr:clientData/>
  </xdr:twoCellAnchor>
  <xdr:twoCellAnchor>
    <xdr:from>
      <xdr:col>8</xdr:col>
      <xdr:colOff>132720</xdr:colOff>
      <xdr:row>0</xdr:row>
      <xdr:rowOff>18939</xdr:rowOff>
    </xdr:from>
    <xdr:to>
      <xdr:col>9</xdr:col>
      <xdr:colOff>520638</xdr:colOff>
      <xdr:row>2</xdr:row>
      <xdr:rowOff>187096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2F9EA495-024E-16C1-8463-1259186BDDA3}"/>
            </a:ext>
          </a:extLst>
        </xdr:cNvPr>
        <xdr:cNvGrpSpPr/>
      </xdr:nvGrpSpPr>
      <xdr:grpSpPr>
        <a:xfrm>
          <a:off x="12905745" y="18939"/>
          <a:ext cx="930843" cy="558682"/>
          <a:chOff x="9621869" y="2064367"/>
          <a:chExt cx="925555" cy="628454"/>
        </a:xfrm>
      </xdr:grpSpPr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D8B9D7CD-40AA-B97F-8BC3-9141BD002C2F}"/>
              </a:ext>
            </a:extLst>
          </xdr:cNvPr>
          <xdr:cNvSpPr txBox="1"/>
        </xdr:nvSpPr>
        <xdr:spPr>
          <a:xfrm>
            <a:off x="9621869" y="2064367"/>
            <a:ext cx="925555" cy="56147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CA" sz="900">
                <a:solidFill>
                  <a:schemeClr val="accent1"/>
                </a:solidFill>
              </a:rPr>
              <a:t>[Absolute time]</a:t>
            </a:r>
          </a:p>
        </xdr:txBody>
      </xdr:sp>
      <xdr:pic macro="[0]!ExportTimeseries_Absolute">
        <xdr:nvPicPr>
          <xdr:cNvPr id="7" name="Graphic 6" descr="Back with solid fill">
            <a:extLst>
              <a:ext uri="{FF2B5EF4-FFF2-40B4-BE49-F238E27FC236}">
                <a16:creationId xmlns:a16="http://schemas.microsoft.com/office/drawing/2014/main" id="{A3FE49CD-F35F-B85F-A2A3-DEA98A8469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9810601" y="2186994"/>
            <a:ext cx="503321" cy="505827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583831</xdr:colOff>
      <xdr:row>0</xdr:row>
      <xdr:rowOff>22516</xdr:rowOff>
    </xdr:from>
    <xdr:to>
      <xdr:col>11</xdr:col>
      <xdr:colOff>382225</xdr:colOff>
      <xdr:row>3</xdr:row>
      <xdr:rowOff>1611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DE7B7474-B9AE-E41D-8A14-F6459556BF5C}"/>
            </a:ext>
          </a:extLst>
        </xdr:cNvPr>
        <xdr:cNvGrpSpPr/>
      </xdr:nvGrpSpPr>
      <xdr:grpSpPr>
        <a:xfrm>
          <a:off x="13899781" y="22516"/>
          <a:ext cx="1017594" cy="569645"/>
          <a:chOff x="13900362" y="22411"/>
          <a:chExt cx="1015735" cy="569285"/>
        </a:xfrm>
      </xdr:grpSpPr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AF9AE7D8-5D97-4852-8D82-A8637F75CCCE}"/>
              </a:ext>
            </a:extLst>
          </xdr:cNvPr>
          <xdr:cNvSpPr txBox="1"/>
        </xdr:nvSpPr>
        <xdr:spPr>
          <a:xfrm>
            <a:off x="13900362" y="22411"/>
            <a:ext cx="1015735" cy="49602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CA" sz="900">
                <a:solidFill>
                  <a:schemeClr val="accent6">
                    <a:lumMod val="75000"/>
                  </a:schemeClr>
                </a:solidFill>
              </a:rPr>
              <a:t>[ICM CSV format]</a:t>
            </a:r>
          </a:p>
        </xdr:txBody>
      </xdr:sp>
      <xdr:pic macro="[0]!ExportTimeseries_ICM">
        <xdr:nvPicPr>
          <xdr:cNvPr id="6" name="Graphic 5" descr="Arrow: Clockwise curve with solid fill">
            <a:extLst>
              <a:ext uri="{FF2B5EF4-FFF2-40B4-BE49-F238E27FC236}">
                <a16:creationId xmlns:a16="http://schemas.microsoft.com/office/drawing/2014/main" id="{EF022F4C-230F-49E8-818A-DD193E7BC5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 rot="5400000">
            <a:off x="14134450" y="106963"/>
            <a:ext cx="441644" cy="527822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47625</xdr:colOff>
      <xdr:row>1</xdr:row>
      <xdr:rowOff>57150</xdr:rowOff>
    </xdr:from>
    <xdr:to>
      <xdr:col>20</xdr:col>
      <xdr:colOff>495300</xdr:colOff>
      <xdr:row>35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CC54AF-0355-8462-D525-92EE2A934A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2109789</xdr:colOff>
      <xdr:row>0</xdr:row>
      <xdr:rowOff>0</xdr:rowOff>
    </xdr:from>
    <xdr:to>
      <xdr:col>6</xdr:col>
      <xdr:colOff>2591754</xdr:colOff>
      <xdr:row>2</xdr:row>
      <xdr:rowOff>60484</xdr:rowOff>
    </xdr:to>
    <xdr:pic macro="[0]!ExportBulkTimeseries">
      <xdr:nvPicPr>
        <xdr:cNvPr id="2" name="Graphic 1" descr="Back with solid fill">
          <a:extLst>
            <a:ext uri="{FF2B5EF4-FFF2-40B4-BE49-F238E27FC236}">
              <a16:creationId xmlns:a16="http://schemas.microsoft.com/office/drawing/2014/main" id="{E59658DF-2CDD-4F00-9CDA-081C3B07DE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6587789" y="0"/>
          <a:ext cx="481965" cy="464820"/>
        </a:xfrm>
        <a:prstGeom prst="rect">
          <a:avLst/>
        </a:prstGeom>
      </xdr:spPr>
    </xdr:pic>
    <xdr:clientData/>
  </xdr:twoCellAnchor>
  <xdr:twoCellAnchor>
    <xdr:from>
      <xdr:col>7</xdr:col>
      <xdr:colOff>1115186</xdr:colOff>
      <xdr:row>0</xdr:row>
      <xdr:rowOff>21256</xdr:rowOff>
    </xdr:from>
    <xdr:to>
      <xdr:col>7</xdr:col>
      <xdr:colOff>2044526</xdr:colOff>
      <xdr:row>2</xdr:row>
      <xdr:rowOff>130174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4241486-5992-BF3B-33DF-0A8B525E5B8A}"/>
            </a:ext>
          </a:extLst>
        </xdr:cNvPr>
        <xdr:cNvSpPr txBox="1"/>
      </xdr:nvSpPr>
      <xdr:spPr>
        <a:xfrm>
          <a:off x="18713445" y="21256"/>
          <a:ext cx="929340" cy="48334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900">
              <a:solidFill>
                <a:schemeClr val="accent1"/>
              </a:solidFill>
            </a:rPr>
            <a:t>[Absolute time]</a:t>
          </a:r>
        </a:p>
      </xdr:txBody>
    </xdr:sp>
    <xdr:clientData/>
  </xdr:twoCellAnchor>
  <xdr:twoCellAnchor>
    <xdr:from>
      <xdr:col>7</xdr:col>
      <xdr:colOff>1297265</xdr:colOff>
      <xdr:row>0</xdr:row>
      <xdr:rowOff>137115</xdr:rowOff>
    </xdr:from>
    <xdr:to>
      <xdr:col>7</xdr:col>
      <xdr:colOff>1802491</xdr:colOff>
      <xdr:row>3</xdr:row>
      <xdr:rowOff>6721</xdr:rowOff>
    </xdr:to>
    <xdr:pic macro="[0]!ExportBulk_Absolute">
      <xdr:nvPicPr>
        <xdr:cNvPr id="7" name="Graphic 6" descr="Back with solid fill">
          <a:extLst>
            <a:ext uri="{FF2B5EF4-FFF2-40B4-BE49-F238E27FC236}">
              <a16:creationId xmlns:a16="http://schemas.microsoft.com/office/drawing/2014/main" id="{75C3928B-BEDD-78A3-0C8F-78033DF44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895524" y="137115"/>
          <a:ext cx="505226" cy="427968"/>
        </a:xfrm>
        <a:prstGeom prst="rect">
          <a:avLst/>
        </a:prstGeom>
      </xdr:spPr>
    </xdr:pic>
    <xdr:clientData/>
  </xdr:twoCellAnchor>
  <xdr:twoCellAnchor>
    <xdr:from>
      <xdr:col>6</xdr:col>
      <xdr:colOff>2650052</xdr:colOff>
      <xdr:row>0</xdr:row>
      <xdr:rowOff>11801</xdr:rowOff>
    </xdr:from>
    <xdr:to>
      <xdr:col>7</xdr:col>
      <xdr:colOff>1063794</xdr:colOff>
      <xdr:row>2</xdr:row>
      <xdr:rowOff>175025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651C650B-BB2E-723E-D894-88748C3F0224}"/>
            </a:ext>
          </a:extLst>
        </xdr:cNvPr>
        <xdr:cNvGrpSpPr/>
      </xdr:nvGrpSpPr>
      <xdr:grpSpPr>
        <a:xfrm>
          <a:off x="17117166" y="11801"/>
          <a:ext cx="1064414" cy="557831"/>
          <a:chOff x="16471033" y="20053"/>
          <a:chExt cx="6740123" cy="718459"/>
        </a:xfrm>
      </xdr:grpSpPr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EEFEE10A-39F3-49BE-BC8F-FE0735704ABD}"/>
              </a:ext>
            </a:extLst>
          </xdr:cNvPr>
          <xdr:cNvSpPr txBox="1"/>
        </xdr:nvSpPr>
        <xdr:spPr>
          <a:xfrm>
            <a:off x="16471033" y="20053"/>
            <a:ext cx="6740123" cy="66857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CA" sz="900"/>
              <a:t>[Paste folder</a:t>
            </a:r>
            <a:r>
              <a:rPr lang="en-CA" sz="900" baseline="0"/>
              <a:t> path]</a:t>
            </a:r>
            <a:endParaRPr lang="en-CA" sz="900"/>
          </a:p>
        </xdr:txBody>
      </xdr:sp>
      <xdr:pic macro="[0]!ExportBulk_Folder">
        <xdr:nvPicPr>
          <xdr:cNvPr id="9" name="Graphic 8" descr="Back with solid fill">
            <a:extLst>
              <a:ext uri="{FF2B5EF4-FFF2-40B4-BE49-F238E27FC236}">
                <a16:creationId xmlns:a16="http://schemas.microsoft.com/office/drawing/2014/main" id="{6DBB5A23-0350-47F6-9DDE-416C9C8360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8119932" y="178793"/>
            <a:ext cx="2955245" cy="559719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2103595</xdr:colOff>
      <xdr:row>0</xdr:row>
      <xdr:rowOff>17446</xdr:rowOff>
    </xdr:from>
    <xdr:to>
      <xdr:col>8</xdr:col>
      <xdr:colOff>516189</xdr:colOff>
      <xdr:row>3</xdr:row>
      <xdr:rowOff>1988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5F2D7A22-0D4A-21B0-E317-9DC0CE3E1023}"/>
            </a:ext>
          </a:extLst>
        </xdr:cNvPr>
        <xdr:cNvGrpSpPr/>
      </xdr:nvGrpSpPr>
      <xdr:grpSpPr>
        <a:xfrm>
          <a:off x="19221381" y="17446"/>
          <a:ext cx="1025165" cy="569649"/>
          <a:chOff x="19182708" y="25066"/>
          <a:chExt cx="1016664" cy="554991"/>
        </a:xfrm>
      </xdr:grpSpPr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9A5BAC3A-4444-4294-BA00-D6B18DEB9682}"/>
              </a:ext>
            </a:extLst>
          </xdr:cNvPr>
          <xdr:cNvSpPr txBox="1"/>
        </xdr:nvSpPr>
        <xdr:spPr>
          <a:xfrm>
            <a:off x="19182708" y="25066"/>
            <a:ext cx="1016664" cy="49648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CA" sz="900">
                <a:solidFill>
                  <a:schemeClr val="accent6">
                    <a:lumMod val="75000"/>
                  </a:schemeClr>
                </a:solidFill>
              </a:rPr>
              <a:t>[ICM CSV format]</a:t>
            </a:r>
          </a:p>
        </xdr:txBody>
      </xdr:sp>
      <xdr:pic macro="[0]!ExportBulk_ICM">
        <xdr:nvPicPr>
          <xdr:cNvPr id="4" name="Graphic 3" descr="Arrow: Clockwise curve with solid fill">
            <a:extLst>
              <a:ext uri="{FF2B5EF4-FFF2-40B4-BE49-F238E27FC236}">
                <a16:creationId xmlns:a16="http://schemas.microsoft.com/office/drawing/2014/main" id="{28573B71-1860-C2E9-0F94-95B09E0987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 rot="5400000">
            <a:off x="19421919" y="94627"/>
            <a:ext cx="442109" cy="528751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5D203F-D511-42DD-9181-EE9902909FB7}">
  <sheetPr codeName="Sheet1"/>
  <dimension ref="A2:C37"/>
  <sheetViews>
    <sheetView zoomScale="130" zoomScaleNormal="130" workbookViewId="0">
      <selection activeCell="A16" sqref="A16"/>
    </sheetView>
  </sheetViews>
  <sheetFormatPr defaultRowHeight="15" x14ac:dyDescent="0.25"/>
  <cols>
    <col min="1" max="1" width="12" bestFit="1" customWidth="1"/>
    <col min="2" max="2" width="9.85546875" bestFit="1" customWidth="1"/>
  </cols>
  <sheetData>
    <row r="2" spans="1:3" x14ac:dyDescent="0.25">
      <c r="A2" s="105" t="s">
        <v>420</v>
      </c>
      <c r="B2" t="s">
        <v>421</v>
      </c>
    </row>
    <row r="3" spans="1:3" x14ac:dyDescent="0.25">
      <c r="A3" s="105" t="s">
        <v>422</v>
      </c>
      <c r="B3" t="s">
        <v>423</v>
      </c>
    </row>
    <row r="4" spans="1:3" x14ac:dyDescent="0.25">
      <c r="A4" s="105" t="s">
        <v>429</v>
      </c>
      <c r="B4" t="s">
        <v>428</v>
      </c>
    </row>
    <row r="5" spans="1:3" x14ac:dyDescent="0.25">
      <c r="A5" s="105" t="s">
        <v>430</v>
      </c>
      <c r="B5" s="106">
        <v>45515</v>
      </c>
    </row>
    <row r="6" spans="1:3" x14ac:dyDescent="0.25">
      <c r="A6" s="105"/>
      <c r="B6" s="106"/>
    </row>
    <row r="7" spans="1:3" x14ac:dyDescent="0.25">
      <c r="A7" s="105" t="s">
        <v>431</v>
      </c>
      <c r="B7" s="106"/>
    </row>
    <row r="8" spans="1:3" x14ac:dyDescent="0.25">
      <c r="A8" s="110" t="s">
        <v>432</v>
      </c>
      <c r="B8" s="106"/>
    </row>
    <row r="9" spans="1:3" x14ac:dyDescent="0.25">
      <c r="A9" s="110" t="s">
        <v>456</v>
      </c>
      <c r="B9" s="106"/>
    </row>
    <row r="10" spans="1:3" x14ac:dyDescent="0.25">
      <c r="A10" s="110"/>
      <c r="B10" s="106" t="s">
        <v>457</v>
      </c>
    </row>
    <row r="11" spans="1:3" x14ac:dyDescent="0.25">
      <c r="A11" s="110"/>
      <c r="B11" s="106"/>
      <c r="C11" t="s">
        <v>461</v>
      </c>
    </row>
    <row r="12" spans="1:3" x14ac:dyDescent="0.25">
      <c r="A12" s="110"/>
      <c r="B12" s="106"/>
      <c r="C12" t="s">
        <v>462</v>
      </c>
    </row>
    <row r="13" spans="1:3" x14ac:dyDescent="0.25">
      <c r="A13" s="110"/>
      <c r="B13" s="106" t="s">
        <v>458</v>
      </c>
    </row>
    <row r="14" spans="1:3" x14ac:dyDescent="0.25">
      <c r="A14" s="110"/>
      <c r="B14" s="106" t="s">
        <v>459</v>
      </c>
    </row>
    <row r="15" spans="1:3" x14ac:dyDescent="0.25">
      <c r="A15" s="105" t="s">
        <v>434</v>
      </c>
      <c r="B15" s="106"/>
    </row>
    <row r="16" spans="1:3" x14ac:dyDescent="0.25">
      <c r="A16" s="96" t="s">
        <v>433</v>
      </c>
      <c r="B16" s="106"/>
    </row>
    <row r="18" spans="1:3" x14ac:dyDescent="0.25">
      <c r="A18" s="105" t="s">
        <v>427</v>
      </c>
    </row>
    <row r="19" spans="1:3" x14ac:dyDescent="0.25">
      <c r="A19" s="109" t="s">
        <v>424</v>
      </c>
      <c r="B19" s="109" t="s">
        <v>425</v>
      </c>
      <c r="C19" s="109" t="s">
        <v>426</v>
      </c>
    </row>
    <row r="20" spans="1:3" x14ac:dyDescent="0.25">
      <c r="A20" s="108">
        <v>45519</v>
      </c>
      <c r="B20" s="107" t="s">
        <v>447</v>
      </c>
      <c r="C20" s="107" t="s">
        <v>448</v>
      </c>
    </row>
    <row r="21" spans="1:3" x14ac:dyDescent="0.25">
      <c r="A21" s="108">
        <v>45566</v>
      </c>
      <c r="B21" s="107" t="s">
        <v>454</v>
      </c>
      <c r="C21" s="107" t="s">
        <v>455</v>
      </c>
    </row>
    <row r="22" spans="1:3" x14ac:dyDescent="0.25">
      <c r="A22" s="107"/>
      <c r="B22" s="107"/>
      <c r="C22" s="107"/>
    </row>
    <row r="23" spans="1:3" x14ac:dyDescent="0.25">
      <c r="A23" s="107"/>
      <c r="B23" s="107"/>
      <c r="C23" s="107"/>
    </row>
    <row r="24" spans="1:3" x14ac:dyDescent="0.25">
      <c r="A24" s="107"/>
      <c r="B24" s="107"/>
      <c r="C24" s="107"/>
    </row>
    <row r="25" spans="1:3" x14ac:dyDescent="0.25">
      <c r="A25" s="107"/>
      <c r="B25" s="107"/>
      <c r="C25" s="107"/>
    </row>
    <row r="26" spans="1:3" x14ac:dyDescent="0.25">
      <c r="A26" s="107"/>
      <c r="B26" s="107"/>
      <c r="C26" s="107"/>
    </row>
    <row r="27" spans="1:3" x14ac:dyDescent="0.25">
      <c r="A27" s="107"/>
      <c r="B27" s="107"/>
      <c r="C27" s="107"/>
    </row>
    <row r="28" spans="1:3" x14ac:dyDescent="0.25">
      <c r="A28" s="107"/>
      <c r="B28" s="107"/>
      <c r="C28" s="107"/>
    </row>
    <row r="31" spans="1:3" x14ac:dyDescent="0.25">
      <c r="A31" s="105" t="s">
        <v>435</v>
      </c>
    </row>
    <row r="32" spans="1:3" x14ac:dyDescent="0.25">
      <c r="A32" s="111" t="s">
        <v>439</v>
      </c>
    </row>
    <row r="33" spans="1:1" x14ac:dyDescent="0.25">
      <c r="A33" s="111" t="s">
        <v>436</v>
      </c>
    </row>
    <row r="34" spans="1:1" x14ac:dyDescent="0.25">
      <c r="A34" s="111" t="s">
        <v>437</v>
      </c>
    </row>
    <row r="35" spans="1:1" x14ac:dyDescent="0.25">
      <c r="A35" s="111" t="s">
        <v>438</v>
      </c>
    </row>
    <row r="36" spans="1:1" x14ac:dyDescent="0.25">
      <c r="A36" s="111" t="s">
        <v>440</v>
      </c>
    </row>
    <row r="37" spans="1:1" x14ac:dyDescent="0.25">
      <c r="A37" s="111" t="s">
        <v>441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CD6949-92DA-49AD-A5D1-98AB524AF03D}">
  <sheetPr codeName="Sheet2"/>
  <dimension ref="A1:J294"/>
  <sheetViews>
    <sheetView topLeftCell="A81" zoomScaleNormal="100" workbookViewId="0">
      <selection activeCell="D90" sqref="D90"/>
    </sheetView>
  </sheetViews>
  <sheetFormatPr defaultRowHeight="15" x14ac:dyDescent="0.25"/>
  <cols>
    <col min="1" max="1" width="10.7109375" bestFit="1" customWidth="1"/>
    <col min="2" max="2" width="32.7109375" bestFit="1" customWidth="1"/>
    <col min="3" max="3" width="35" bestFit="1" customWidth="1"/>
    <col min="4" max="4" width="37.28515625" bestFit="1" customWidth="1"/>
    <col min="5" max="5" width="13.42578125" bestFit="1" customWidth="1"/>
    <col min="6" max="6" width="30.140625" bestFit="1" customWidth="1"/>
    <col min="7" max="7" width="16.7109375" customWidth="1"/>
    <col min="8" max="8" width="15.5703125" customWidth="1"/>
    <col min="9" max="9" width="8.140625" style="2" customWidth="1"/>
  </cols>
  <sheetData>
    <row r="1" spans="1:10" x14ac:dyDescent="0.25">
      <c r="A1" s="84" t="s">
        <v>419</v>
      </c>
      <c r="B1" s="85" t="s">
        <v>24</v>
      </c>
      <c r="C1" s="85" t="s">
        <v>26</v>
      </c>
      <c r="D1" s="85" t="s">
        <v>20</v>
      </c>
      <c r="E1" s="85" t="s">
        <v>0</v>
      </c>
      <c r="F1" s="86" t="s">
        <v>29</v>
      </c>
      <c r="G1" s="130" t="s">
        <v>452</v>
      </c>
      <c r="H1" s="139"/>
      <c r="I1" s="140"/>
    </row>
    <row r="2" spans="1:10" ht="15.75" thickBot="1" x14ac:dyDescent="0.3">
      <c r="A2" s="99" t="s">
        <v>21</v>
      </c>
      <c r="B2" s="100" t="s">
        <v>17</v>
      </c>
      <c r="C2" s="100" t="s">
        <v>27</v>
      </c>
      <c r="D2" s="100" t="s">
        <v>16</v>
      </c>
      <c r="E2" s="100" t="s">
        <v>1</v>
      </c>
      <c r="F2" s="101" t="s">
        <v>392</v>
      </c>
      <c r="G2" s="138" t="s">
        <v>460</v>
      </c>
      <c r="H2" s="60" t="s">
        <v>172</v>
      </c>
      <c r="I2" s="61" t="str">
        <f>A2&amp;", "&amp;B2&amp;", "&amp;C2&amp;", "&amp;D2</f>
        <v>COV (2018), Zone 1S, Current, 24-hr</v>
      </c>
    </row>
    <row r="3" spans="1:10" ht="15.75" thickBot="1" x14ac:dyDescent="0.3">
      <c r="B3" s="96" t="str">
        <f>IF(A2="MV (2018)","***No Index Rain Value Used for Zonal IDFs - Data Likely Invalid for COV***","")</f>
        <v/>
      </c>
      <c r="E3" s="97" t="str">
        <f>IF(E2="500-year","*Use 500-Year Estimates With Caution - Extrapolated Beyond Observed Data*","")</f>
        <v/>
      </c>
      <c r="F3" s="104" t="str">
        <f>IF(LEFT(F2,1)="*","Recommended Distribution","")</f>
        <v>Recommended Distribution</v>
      </c>
      <c r="H3" s="60" t="s">
        <v>173</v>
      </c>
      <c r="I3" s="61"/>
    </row>
    <row r="4" spans="1:10" ht="15.75" thickBot="1" x14ac:dyDescent="0.3">
      <c r="B4" s="98" t="str">
        <f>IF(SUM(B6:B294)=I6,"OK","CHECK VARIANCE")</f>
        <v>OK</v>
      </c>
      <c r="C4" s="98" t="str">
        <f>IF(MAX(C6:C294)=I6,"OK","CHECK VARIANCE")</f>
        <v>OK</v>
      </c>
      <c r="D4" s="97" t="str">
        <f>IF(B4="CHECK VARIANCE","Varianace = "&amp;ROUND((ABS(SUM(B6:B294)-I6)/I6)*100,2)&amp;"%","")</f>
        <v/>
      </c>
      <c r="H4" s="78" t="s">
        <v>30</v>
      </c>
      <c r="I4" s="76">
        <f>INDEX('IDF Tables'!$A$1:$J$298,MATCH(I2,'IDF Tables'!$A1:$A298,0),MATCH(Tool!E2,'IDF Tables'!$A$1:$J$1,0))</f>
        <v>2.3584569121601295</v>
      </c>
      <c r="J4" s="81" t="s">
        <v>406</v>
      </c>
    </row>
    <row r="5" spans="1:10" ht="15.75" thickBot="1" x14ac:dyDescent="0.3">
      <c r="A5" s="71" t="s">
        <v>171</v>
      </c>
      <c r="B5" s="72" t="str">
        <f>F2&amp;" Absolute"</f>
        <v>*SCS Type 1A 24-hr (Unrounded) Absolute</v>
      </c>
      <c r="C5" s="73" t="s">
        <v>174</v>
      </c>
      <c r="D5" s="74" t="s">
        <v>175</v>
      </c>
      <c r="E5" s="75" t="s">
        <v>399</v>
      </c>
      <c r="F5" s="131" t="s">
        <v>449</v>
      </c>
      <c r="G5" s="132"/>
      <c r="H5" s="79" t="s">
        <v>20</v>
      </c>
      <c r="I5" s="12">
        <f>INDEX('IDF Tables'!$B$1:$B$298,MATCH(Tool!I2,'IDF Tables'!$A$1:$A$298,0))</f>
        <v>24</v>
      </c>
      <c r="J5" s="82" t="s">
        <v>407</v>
      </c>
    </row>
    <row r="6" spans="1:10" ht="15.75" thickBot="1" x14ac:dyDescent="0.3">
      <c r="A6" s="13">
        <v>0</v>
      </c>
      <c r="B6" s="25">
        <f>INDEX('IDF Distributions'!$A$1:$AB$290,MATCH(Tool!$A6,'IDF Distributions'!$A$1:$A$290,0),MATCH(Tool!B$5,'IDF Distributions'!$A$1:$AB$1,0))*$I$6</f>
        <v>0</v>
      </c>
      <c r="C6" s="26">
        <f>B6</f>
        <v>0</v>
      </c>
      <c r="D6" s="56">
        <f>B6*12</f>
        <v>0</v>
      </c>
      <c r="E6" s="59" t="str">
        <f>IF(COUNTIF($D$6:D6,$D$6)&gt;1,"Do Not Copy","Copy")</f>
        <v>Copy</v>
      </c>
      <c r="F6" s="133" t="s">
        <v>450</v>
      </c>
      <c r="G6" s="134"/>
      <c r="H6" s="80" t="s">
        <v>408</v>
      </c>
      <c r="I6" s="77">
        <f>I4*I5</f>
        <v>56.602965891843112</v>
      </c>
      <c r="J6" s="83" t="s">
        <v>415</v>
      </c>
    </row>
    <row r="7" spans="1:10" x14ac:dyDescent="0.25">
      <c r="A7" s="14">
        <f>A6+TIME(0,5,0)</f>
        <v>3.472222222222222E-3</v>
      </c>
      <c r="B7" s="27">
        <f>INDEX('IDF Distributions'!$A$1:$AB$290,MATCH(Tool!$A7,'IDF Distributions'!$A$1:$A$290,0),MATCH(Tool!B$5,'IDF Distributions'!$A$1:$AB$1,0))*$I$6</f>
        <v>0.12452652496205485</v>
      </c>
      <c r="C7" s="24">
        <f>B7+C6</f>
        <v>0.12452652496205485</v>
      </c>
      <c r="D7" s="57">
        <f t="shared" ref="D7:D70" si="0">B7*12</f>
        <v>1.4943182995446582</v>
      </c>
      <c r="E7" s="59" t="str">
        <f>IF(COUNTIF($D$6:D7,$D$6)&gt;1,"Do Not Copy","Copy")</f>
        <v>Copy</v>
      </c>
      <c r="F7" s="135" t="s">
        <v>451</v>
      </c>
      <c r="G7" s="134"/>
    </row>
    <row r="8" spans="1:10" x14ac:dyDescent="0.25">
      <c r="A8" s="14">
        <f t="shared" ref="A8:A71" si="1">A7+TIME(0,5,0)</f>
        <v>6.9444444444444441E-3</v>
      </c>
      <c r="B8" s="27">
        <f>INDEX('IDF Distributions'!$A$1:$AB$290,MATCH(Tool!$A8,'IDF Distributions'!$A$1:$A$290,0),MATCH(Tool!B$5,'IDF Distributions'!$A$1:$AB$1,0))*$I$6</f>
        <v>9.9055190310725461E-2</v>
      </c>
      <c r="C8" s="24">
        <f t="shared" ref="C8:C71" si="2">B8+C7</f>
        <v>0.22358171527278031</v>
      </c>
      <c r="D8" s="57">
        <f t="shared" si="0"/>
        <v>1.1886622837287055</v>
      </c>
      <c r="E8" s="59" t="str">
        <f>IF(COUNTIF($D$6:D8,$D$6)&gt;1,"Do Not Copy","Copy")</f>
        <v>Copy</v>
      </c>
    </row>
    <row r="9" spans="1:10" x14ac:dyDescent="0.25">
      <c r="A9" s="14">
        <f t="shared" si="1"/>
        <v>1.0416666666666666E-2</v>
      </c>
      <c r="B9" s="27">
        <f>INDEX('IDF Distributions'!$A$1:$AB$290,MATCH(Tool!$A9,'IDF Distributions'!$A$1:$A$290,0),MATCH(Tool!B$5,'IDF Distributions'!$A$1:$AB$1,0))*$I$6</f>
        <v>9.5281659251269205E-2</v>
      </c>
      <c r="C9" s="24">
        <f t="shared" si="2"/>
        <v>0.3188633745240495</v>
      </c>
      <c r="D9" s="57">
        <f t="shared" si="0"/>
        <v>1.1433799110152305</v>
      </c>
      <c r="E9" s="59" t="str">
        <f>IF(COUNTIF($D$6:D9,$D$6)&gt;1,"Do Not Copy","Copy")</f>
        <v>Copy</v>
      </c>
    </row>
    <row r="10" spans="1:10" x14ac:dyDescent="0.25">
      <c r="A10" s="14">
        <f t="shared" si="1"/>
        <v>1.3888888888888888E-2</v>
      </c>
      <c r="B10" s="27">
        <f>INDEX('IDF Distributions'!$A$1:$AB$290,MATCH(Tool!$A10,'IDF Distributions'!$A$1:$A$290,0),MATCH(Tool!B$5,'IDF Distributions'!$A$1:$AB$1,0))*$I$6</f>
        <v>9.1508128191813073E-2</v>
      </c>
      <c r="C10" s="24">
        <f t="shared" si="2"/>
        <v>0.41037150271586259</v>
      </c>
      <c r="D10" s="57">
        <f t="shared" si="0"/>
        <v>1.0980975383017568</v>
      </c>
      <c r="E10" s="59" t="str">
        <f>IF(COUNTIF($D$6:D10,$D$6)&gt;1,"Do Not Copy","Copy")</f>
        <v>Copy</v>
      </c>
      <c r="H10" s="102" t="s">
        <v>416</v>
      </c>
    </row>
    <row r="11" spans="1:10" x14ac:dyDescent="0.25">
      <c r="A11" s="14">
        <f t="shared" si="1"/>
        <v>1.7361111111111112E-2</v>
      </c>
      <c r="B11" s="27">
        <f>INDEX('IDF Distributions'!$A$1:$AB$290,MATCH(Tool!$A11,'IDF Distributions'!$A$1:$A$290,0),MATCH(Tool!B$5,'IDF Distributions'!$A$1:$AB$1,0))*$I$6</f>
        <v>8.7734597132356831E-2</v>
      </c>
      <c r="C11" s="24">
        <f t="shared" si="2"/>
        <v>0.49810609984821941</v>
      </c>
      <c r="D11" s="57">
        <f t="shared" si="0"/>
        <v>1.052815165588282</v>
      </c>
      <c r="E11" s="59" t="str">
        <f>IF(COUNTIF($D$6:D11,$D$6)&gt;1,"Do Not Copy","Copy")</f>
        <v>Copy</v>
      </c>
      <c r="H11" s="2" t="s">
        <v>417</v>
      </c>
    </row>
    <row r="12" spans="1:10" x14ac:dyDescent="0.25">
      <c r="A12" s="14">
        <f t="shared" si="1"/>
        <v>2.0833333333333336E-2</v>
      </c>
      <c r="B12" s="27">
        <f>INDEX('IDF Distributions'!$A$1:$AB$290,MATCH(Tool!$A12,'IDF Distributions'!$A$1:$A$290,0),MATCH(Tool!B$5,'IDF Distributions'!$A$1:$AB$1,0))*$I$6</f>
        <v>8.4904448837764643E-2</v>
      </c>
      <c r="C12" s="24">
        <f t="shared" si="2"/>
        <v>0.58301054868598401</v>
      </c>
      <c r="D12" s="57">
        <f t="shared" si="0"/>
        <v>1.0188533860531757</v>
      </c>
      <c r="E12" s="59" t="str">
        <f>IF(COUNTIF($D$6:D12,$D$6)&gt;1,"Do Not Copy","Copy")</f>
        <v>Copy</v>
      </c>
    </row>
    <row r="13" spans="1:10" x14ac:dyDescent="0.25">
      <c r="A13" s="14">
        <f t="shared" si="1"/>
        <v>2.4305555555555559E-2</v>
      </c>
      <c r="B13" s="27">
        <f>INDEX('IDF Distributions'!$A$1:$AB$290,MATCH(Tool!$A13,'IDF Distributions'!$A$1:$A$290,0),MATCH(Tool!B$5,'IDF Distributions'!$A$1:$AB$1,0))*$I$6</f>
        <v>8.4904448837764643E-2</v>
      </c>
      <c r="C13" s="24">
        <f t="shared" si="2"/>
        <v>0.66791499752374861</v>
      </c>
      <c r="D13" s="57">
        <f t="shared" si="0"/>
        <v>1.0188533860531757</v>
      </c>
      <c r="E13" s="59" t="str">
        <f>IF(COUNTIF($D$6:D13,$D$6)&gt;1,"Do Not Copy","Copy")</f>
        <v>Copy</v>
      </c>
      <c r="H13" s="102" t="s">
        <v>418</v>
      </c>
    </row>
    <row r="14" spans="1:10" x14ac:dyDescent="0.25">
      <c r="A14" s="14">
        <f t="shared" si="1"/>
        <v>2.7777777777777783E-2</v>
      </c>
      <c r="B14" s="27">
        <f>INDEX('IDF Distributions'!$A$1:$AB$290,MATCH(Tool!$A14,'IDF Distributions'!$A$1:$A$290,0),MATCH(Tool!B$5,'IDF Distributions'!$A$1:$AB$1,0))*$I$6</f>
        <v>8.962136266208498E-2</v>
      </c>
      <c r="C14" s="24">
        <f t="shared" si="2"/>
        <v>0.75753636018583359</v>
      </c>
      <c r="D14" s="57">
        <f t="shared" si="0"/>
        <v>1.0754563519450198</v>
      </c>
      <c r="E14" s="59" t="str">
        <f>IF(COUNTIF($D$6:D14,$D$6)&gt;1,"Do Not Copy","Copy")</f>
        <v>Copy</v>
      </c>
      <c r="H14" s="103" t="s">
        <v>417</v>
      </c>
    </row>
    <row r="15" spans="1:10" x14ac:dyDescent="0.25">
      <c r="A15" s="14">
        <f t="shared" si="1"/>
        <v>3.1250000000000007E-2</v>
      </c>
      <c r="B15" s="27">
        <f>INDEX('IDF Distributions'!$A$1:$AB$290,MATCH(Tool!$A15,'IDF Distributions'!$A$1:$A$290,0),MATCH(Tool!B$5,'IDF Distributions'!$A$1:$AB$1,0))*$I$6</f>
        <v>9.3394893721541056E-2</v>
      </c>
      <c r="C15" s="24">
        <f t="shared" si="2"/>
        <v>0.85093125390737467</v>
      </c>
      <c r="D15" s="57">
        <f t="shared" si="0"/>
        <v>1.1207387246584926</v>
      </c>
      <c r="E15" s="59" t="str">
        <f>IF(COUNTIF($D$6:D15,$D$6)&gt;1,"Do Not Copy","Copy")</f>
        <v>Copy</v>
      </c>
    </row>
    <row r="16" spans="1:10" x14ac:dyDescent="0.25">
      <c r="A16" s="14">
        <f t="shared" si="1"/>
        <v>3.4722222222222231E-2</v>
      </c>
      <c r="B16" s="27">
        <f>INDEX('IDF Distributions'!$A$1:$AB$290,MATCH(Tool!$A16,'IDF Distributions'!$A$1:$A$290,0),MATCH(Tool!B$5,'IDF Distributions'!$A$1:$AB$1,0))*$I$6</f>
        <v>9.7168424780997437E-2</v>
      </c>
      <c r="C16" s="24">
        <f t="shared" si="2"/>
        <v>0.94809967868837208</v>
      </c>
      <c r="D16" s="57">
        <f t="shared" si="0"/>
        <v>1.1660210973719694</v>
      </c>
      <c r="E16" s="59" t="str">
        <f>IF(COUNTIF($D$6:D16,$D$6)&gt;1,"Do Not Copy","Copy")</f>
        <v>Copy</v>
      </c>
    </row>
    <row r="17" spans="1:5" x14ac:dyDescent="0.25">
      <c r="A17" s="14">
        <f t="shared" si="1"/>
        <v>3.8194444444444454E-2</v>
      </c>
      <c r="B17" s="27">
        <f>INDEX('IDF Distributions'!$A$1:$AB$290,MATCH(Tool!$A17,'IDF Distributions'!$A$1:$A$290,0),MATCH(Tool!B$5,'IDF Distributions'!$A$1:$AB$1,0))*$I$6</f>
        <v>0.10094195584045343</v>
      </c>
      <c r="C17" s="24">
        <f t="shared" si="2"/>
        <v>1.0490416345288256</v>
      </c>
      <c r="D17" s="57">
        <f t="shared" si="0"/>
        <v>1.2113034700854413</v>
      </c>
      <c r="E17" s="59" t="str">
        <f>IF(COUNTIF($D$6:D17,$D$6)&gt;1,"Do Not Copy","Copy")</f>
        <v>Copy</v>
      </c>
    </row>
    <row r="18" spans="1:5" x14ac:dyDescent="0.25">
      <c r="A18" s="14">
        <f t="shared" si="1"/>
        <v>4.1666666666666678E-2</v>
      </c>
      <c r="B18" s="27">
        <f>INDEX('IDF Distributions'!$A$1:$AB$290,MATCH(Tool!$A18,'IDF Distributions'!$A$1:$A$290,0),MATCH(Tool!B$5,'IDF Distributions'!$A$1:$AB$1,0))*$I$6</f>
        <v>0.10943240072423015</v>
      </c>
      <c r="C18" s="24">
        <f t="shared" si="2"/>
        <v>1.1584740352530558</v>
      </c>
      <c r="D18" s="57">
        <f t="shared" si="0"/>
        <v>1.3131888086907617</v>
      </c>
      <c r="E18" s="59" t="str">
        <f>IF(COUNTIF($D$6:D18,$D$6)&gt;1,"Do Not Copy","Copy")</f>
        <v>Copy</v>
      </c>
    </row>
    <row r="19" spans="1:5" x14ac:dyDescent="0.25">
      <c r="A19" s="14">
        <f t="shared" si="1"/>
        <v>4.5138888888888902E-2</v>
      </c>
      <c r="B19" s="27">
        <f>INDEX('IDF Distributions'!$A$1:$AB$290,MATCH(Tool!$A19,'IDF Distributions'!$A$1:$A$290,0),MATCH(Tool!B$5,'IDF Distributions'!$A$1:$AB$1,0))*$I$6</f>
        <v>0.13207358708096725</v>
      </c>
      <c r="C19" s="24">
        <f t="shared" si="2"/>
        <v>1.2905476223340231</v>
      </c>
      <c r="D19" s="57">
        <f t="shared" si="0"/>
        <v>1.5848830449716069</v>
      </c>
      <c r="E19" s="59" t="str">
        <f>IF(COUNTIF($D$6:D19,$D$6)&gt;1,"Do Not Copy","Copy")</f>
        <v>Copy</v>
      </c>
    </row>
    <row r="20" spans="1:5" x14ac:dyDescent="0.25">
      <c r="A20" s="14">
        <f t="shared" si="1"/>
        <v>4.8611111111111126E-2</v>
      </c>
      <c r="B20" s="27">
        <f>INDEX('IDF Distributions'!$A$1:$AB$290,MATCH(Tool!$A20,'IDF Distributions'!$A$1:$A$290,0),MATCH(Tool!B$5,'IDF Distributions'!$A$1:$AB$1,0))*$I$6</f>
        <v>0.13679050090528758</v>
      </c>
      <c r="C20" s="24">
        <f t="shared" si="2"/>
        <v>1.4273381232393108</v>
      </c>
      <c r="D20" s="57">
        <f t="shared" si="0"/>
        <v>1.641486010863451</v>
      </c>
      <c r="E20" s="59" t="str">
        <f>IF(COUNTIF($D$6:D20,$D$6)&gt;1,"Do Not Copy","Copy")</f>
        <v>Copy</v>
      </c>
    </row>
    <row r="21" spans="1:5" x14ac:dyDescent="0.25">
      <c r="A21" s="14">
        <f t="shared" si="1"/>
        <v>5.208333333333335E-2</v>
      </c>
      <c r="B21" s="27">
        <f>INDEX('IDF Distributions'!$A$1:$AB$290,MATCH(Tool!$A21,'IDF Distributions'!$A$1:$A$290,0),MATCH(Tool!B$5,'IDF Distributions'!$A$1:$AB$1,0))*$I$6</f>
        <v>0.14056403196474357</v>
      </c>
      <c r="C21" s="24">
        <f t="shared" si="2"/>
        <v>1.5679021552040544</v>
      </c>
      <c r="D21" s="57">
        <f t="shared" si="0"/>
        <v>1.6867683835769229</v>
      </c>
      <c r="E21" s="59" t="str">
        <f>IF(COUNTIF($D$6:D21,$D$6)&gt;1,"Do Not Copy","Copy")</f>
        <v>Copy</v>
      </c>
    </row>
    <row r="22" spans="1:5" x14ac:dyDescent="0.25">
      <c r="A22" s="14">
        <f t="shared" si="1"/>
        <v>5.5555555555555573E-2</v>
      </c>
      <c r="B22" s="27">
        <f>INDEX('IDF Distributions'!$A$1:$AB$290,MATCH(Tool!$A22,'IDF Distributions'!$A$1:$A$290,0),MATCH(Tool!B$5,'IDF Distributions'!$A$1:$AB$1,0))*$I$6</f>
        <v>0.14433756302419995</v>
      </c>
      <c r="C22" s="24">
        <f t="shared" si="2"/>
        <v>1.7122397182282543</v>
      </c>
      <c r="D22" s="57">
        <f t="shared" si="0"/>
        <v>1.7320507562903993</v>
      </c>
      <c r="E22" s="59" t="str">
        <f>IF(COUNTIF($D$6:D22,$D$6)&gt;1,"Do Not Copy","Copy")</f>
        <v>Copy</v>
      </c>
    </row>
    <row r="23" spans="1:5" x14ac:dyDescent="0.25">
      <c r="A23" s="14">
        <f t="shared" si="1"/>
        <v>5.9027777777777797E-2</v>
      </c>
      <c r="B23" s="27">
        <f>INDEX('IDF Distributions'!$A$1:$AB$290,MATCH(Tool!$A23,'IDF Distributions'!$A$1:$A$290,0),MATCH(Tool!B$5,'IDF Distributions'!$A$1:$AB$1,0))*$I$6</f>
        <v>0.14811109408365633</v>
      </c>
      <c r="C23" s="24">
        <f t="shared" si="2"/>
        <v>1.8603508123119106</v>
      </c>
      <c r="D23" s="57">
        <f t="shared" si="0"/>
        <v>1.7773331290038761</v>
      </c>
      <c r="E23" s="59" t="str">
        <f>IF(COUNTIF($D$6:D23,$D$6)&gt;1,"Do Not Copy","Copy")</f>
        <v>Copy</v>
      </c>
    </row>
    <row r="24" spans="1:5" x14ac:dyDescent="0.25">
      <c r="A24" s="14">
        <f t="shared" si="1"/>
        <v>6.2500000000000014E-2</v>
      </c>
      <c r="B24" s="27">
        <f>INDEX('IDF Distributions'!$A$1:$AB$290,MATCH(Tool!$A24,'IDF Distributions'!$A$1:$A$290,0),MATCH(Tool!B$5,'IDF Distributions'!$A$1:$AB$1,0))*$I$6</f>
        <v>0.14905447684852027</v>
      </c>
      <c r="C24" s="24">
        <f t="shared" si="2"/>
        <v>2.0094052891604308</v>
      </c>
      <c r="D24" s="57">
        <f t="shared" si="0"/>
        <v>1.7886537221822434</v>
      </c>
      <c r="E24" s="59" t="str">
        <f>IF(COUNTIF($D$6:D24,$D$6)&gt;1,"Do Not Copy","Copy")</f>
        <v>Copy</v>
      </c>
    </row>
    <row r="25" spans="1:5" x14ac:dyDescent="0.25">
      <c r="A25" s="14">
        <f t="shared" si="1"/>
        <v>6.5972222222222238E-2</v>
      </c>
      <c r="B25" s="27">
        <f>INDEX('IDF Distributions'!$A$1:$AB$290,MATCH(Tool!$A25,'IDF Distributions'!$A$1:$A$290,0),MATCH(Tool!B$5,'IDF Distributions'!$A$1:$AB$1,0))*$I$6</f>
        <v>0.14150741472960751</v>
      </c>
      <c r="C25" s="24">
        <f t="shared" si="2"/>
        <v>2.1509127038900382</v>
      </c>
      <c r="D25" s="57">
        <f t="shared" si="0"/>
        <v>1.6980889767552902</v>
      </c>
      <c r="E25" s="59" t="str">
        <f>IF(COUNTIF($D$6:D25,$D$6)&gt;1,"Do Not Copy","Copy")</f>
        <v>Copy</v>
      </c>
    </row>
    <row r="26" spans="1:5" x14ac:dyDescent="0.25">
      <c r="A26" s="14">
        <f t="shared" si="1"/>
        <v>6.9444444444444461E-2</v>
      </c>
      <c r="B26" s="27">
        <f>INDEX('IDF Distributions'!$A$1:$AB$290,MATCH(Tool!$A26,'IDF Distributions'!$A$1:$A$290,0),MATCH(Tool!B$5,'IDF Distributions'!$A$1:$AB$1,0))*$I$6</f>
        <v>0.1415074147296079</v>
      </c>
      <c r="C26" s="24">
        <f t="shared" si="2"/>
        <v>2.292420118619646</v>
      </c>
      <c r="D26" s="57">
        <f t="shared" si="0"/>
        <v>1.6980889767552947</v>
      </c>
      <c r="E26" s="59" t="str">
        <f>IF(COUNTIF($D$6:D26,$D$6)&gt;1,"Do Not Copy","Copy")</f>
        <v>Copy</v>
      </c>
    </row>
    <row r="27" spans="1:5" x14ac:dyDescent="0.25">
      <c r="A27" s="14">
        <f t="shared" si="1"/>
        <v>7.2916666666666685E-2</v>
      </c>
      <c r="B27" s="27">
        <f>INDEX('IDF Distributions'!$A$1:$AB$290,MATCH(Tool!$A27,'IDF Distributions'!$A$1:$A$290,0),MATCH(Tool!B$5,'IDF Distributions'!$A$1:$AB$1,0))*$I$6</f>
        <v>0.13773388367015171</v>
      </c>
      <c r="C27" s="24">
        <f t="shared" si="2"/>
        <v>2.4301540022897976</v>
      </c>
      <c r="D27" s="57">
        <f t="shared" si="0"/>
        <v>1.6528066040418206</v>
      </c>
      <c r="E27" s="59" t="str">
        <f>IF(COUNTIF($D$6:D27,$D$6)&gt;1,"Do Not Copy","Copy")</f>
        <v>Copy</v>
      </c>
    </row>
    <row r="28" spans="1:5" x14ac:dyDescent="0.25">
      <c r="A28" s="14">
        <f t="shared" si="1"/>
        <v>7.6388888888888909E-2</v>
      </c>
      <c r="B28" s="27">
        <f>INDEX('IDF Distributions'!$A$1:$AB$290,MATCH(Tool!$A28,'IDF Distributions'!$A$1:$A$290,0),MATCH(Tool!B$5,'IDF Distributions'!$A$1:$AB$1,0))*$I$6</f>
        <v>0.14245079749447184</v>
      </c>
      <c r="C28" s="24">
        <f t="shared" si="2"/>
        <v>2.5726047997842696</v>
      </c>
      <c r="D28" s="57">
        <f t="shared" si="0"/>
        <v>1.709409569933662</v>
      </c>
      <c r="E28" s="59" t="str">
        <f>IF(COUNTIF($D$6:D28,$D$6)&gt;1,"Do Not Copy","Copy")</f>
        <v>Copy</v>
      </c>
    </row>
    <row r="29" spans="1:5" x14ac:dyDescent="0.25">
      <c r="A29" s="14">
        <f t="shared" si="1"/>
        <v>7.9861111111111133E-2</v>
      </c>
      <c r="B29" s="27">
        <f>INDEX('IDF Distributions'!$A$1:$AB$290,MATCH(Tool!$A29,'IDF Distributions'!$A$1:$A$290,0),MATCH(Tool!B$5,'IDF Distributions'!$A$1:$AB$1,0))*$I$6</f>
        <v>0.14433756302419976</v>
      </c>
      <c r="C29" s="24">
        <f t="shared" si="2"/>
        <v>2.7169423628084695</v>
      </c>
      <c r="D29" s="57">
        <f t="shared" si="0"/>
        <v>1.7320507562903971</v>
      </c>
      <c r="E29" s="59" t="str">
        <f>IF(COUNTIF($D$6:D29,$D$6)&gt;1,"Do Not Copy","Copy")</f>
        <v>Copy</v>
      </c>
    </row>
    <row r="30" spans="1:5" x14ac:dyDescent="0.25">
      <c r="A30" s="14">
        <f t="shared" si="1"/>
        <v>8.3333333333333356E-2</v>
      </c>
      <c r="B30" s="27">
        <f>INDEX('IDF Distributions'!$A$1:$AB$290,MATCH(Tool!$A30,'IDF Distributions'!$A$1:$A$290,0),MATCH(Tool!B$5,'IDF Distributions'!$A$1:$AB$1,0))*$I$6</f>
        <v>0.14245079749447184</v>
      </c>
      <c r="C30" s="24">
        <f t="shared" si="2"/>
        <v>2.8593931603029414</v>
      </c>
      <c r="D30" s="57">
        <f t="shared" si="0"/>
        <v>1.709409569933662</v>
      </c>
      <c r="E30" s="59" t="str">
        <f>IF(COUNTIF($D$6:D30,$D$6)&gt;1,"Do Not Copy","Copy")</f>
        <v>Copy</v>
      </c>
    </row>
    <row r="31" spans="1:5" x14ac:dyDescent="0.25">
      <c r="A31" s="14">
        <f t="shared" si="1"/>
        <v>8.680555555555558E-2</v>
      </c>
      <c r="B31" s="27">
        <f>INDEX('IDF Distributions'!$A$1:$AB$290,MATCH(Tool!$A31,'IDF Distributions'!$A$1:$A$290,0),MATCH(Tool!B$5,'IDF Distributions'!$A$1:$AB$1,0))*$I$6</f>
        <v>0.14622432855392803</v>
      </c>
      <c r="C31" s="24">
        <f t="shared" si="2"/>
        <v>3.0056174888568696</v>
      </c>
      <c r="D31" s="57">
        <f t="shared" si="0"/>
        <v>1.7546919426471363</v>
      </c>
      <c r="E31" s="59" t="str">
        <f>IF(COUNTIF($D$6:D31,$D$6)&gt;1,"Do Not Copy","Copy")</f>
        <v>Copy</v>
      </c>
    </row>
    <row r="32" spans="1:5" x14ac:dyDescent="0.25">
      <c r="A32" s="14">
        <f t="shared" si="1"/>
        <v>9.0277777777777804E-2</v>
      </c>
      <c r="B32" s="27">
        <f>INDEX('IDF Distributions'!$A$1:$AB$290,MATCH(Tool!$A32,'IDF Distributions'!$A$1:$A$290,0),MATCH(Tool!B$5,'IDF Distributions'!$A$1:$AB$1,0))*$I$6</f>
        <v>0.15094124237824857</v>
      </c>
      <c r="C32" s="24">
        <f t="shared" si="2"/>
        <v>3.1565587312351182</v>
      </c>
      <c r="D32" s="57">
        <f t="shared" si="0"/>
        <v>1.8112949085389829</v>
      </c>
      <c r="E32" s="59" t="str">
        <f>IF(COUNTIF($D$6:D32,$D$6)&gt;1,"Do Not Copy","Copy")</f>
        <v>Copy</v>
      </c>
    </row>
    <row r="33" spans="1:5" x14ac:dyDescent="0.25">
      <c r="A33" s="14">
        <f t="shared" si="1"/>
        <v>9.3750000000000028E-2</v>
      </c>
      <c r="B33" s="27">
        <f>INDEX('IDF Distributions'!$A$1:$AB$290,MATCH(Tool!$A33,'IDF Distributions'!$A$1:$A$290,0),MATCH(Tool!B$5,'IDF Distributions'!$A$1:$AB$1,0))*$I$6</f>
        <v>0.15094124237824777</v>
      </c>
      <c r="C33" s="24">
        <f t="shared" si="2"/>
        <v>3.3074999736133659</v>
      </c>
      <c r="D33" s="57">
        <f t="shared" si="0"/>
        <v>1.8112949085389731</v>
      </c>
      <c r="E33" s="59" t="str">
        <f>IF(COUNTIF($D$6:D33,$D$6)&gt;1,"Do Not Copy","Copy")</f>
        <v>Copy</v>
      </c>
    </row>
    <row r="34" spans="1:5" x14ac:dyDescent="0.25">
      <c r="A34" s="14">
        <f t="shared" si="1"/>
        <v>9.7222222222222252E-2</v>
      </c>
      <c r="B34" s="27">
        <f>INDEX('IDF Distributions'!$A$1:$AB$290,MATCH(Tool!$A34,'IDF Distributions'!$A$1:$A$290,0),MATCH(Tool!B$5,'IDF Distributions'!$A$1:$AB$1,0))*$I$6</f>
        <v>0.1537713906728404</v>
      </c>
      <c r="C34" s="24">
        <f t="shared" si="2"/>
        <v>3.4612713642862065</v>
      </c>
      <c r="D34" s="57">
        <f t="shared" si="0"/>
        <v>1.8452566880740848</v>
      </c>
      <c r="E34" s="59" t="str">
        <f>IF(COUNTIF($D$6:D34,$D$6)&gt;1,"Do Not Copy","Copy")</f>
        <v>Copy</v>
      </c>
    </row>
    <row r="35" spans="1:5" x14ac:dyDescent="0.25">
      <c r="A35" s="14">
        <f t="shared" si="1"/>
        <v>0.10069444444444448</v>
      </c>
      <c r="B35" s="27">
        <f>INDEX('IDF Distributions'!$A$1:$AB$290,MATCH(Tool!$A35,'IDF Distributions'!$A$1:$A$290,0),MATCH(Tool!B$5,'IDF Distributions'!$A$1:$AB$1,0))*$I$6</f>
        <v>0.15377139067284079</v>
      </c>
      <c r="C35" s="24">
        <f t="shared" si="2"/>
        <v>3.6150427549590471</v>
      </c>
      <c r="D35" s="57">
        <f t="shared" si="0"/>
        <v>1.8452566880740895</v>
      </c>
      <c r="E35" s="59" t="str">
        <f>IF(COUNTIF($D$6:D35,$D$6)&gt;1,"Do Not Copy","Copy")</f>
        <v>Copy</v>
      </c>
    </row>
    <row r="36" spans="1:5" x14ac:dyDescent="0.25">
      <c r="A36" s="14">
        <f t="shared" si="1"/>
        <v>0.1041666666666667</v>
      </c>
      <c r="B36" s="27">
        <f>INDEX('IDF Distributions'!$A$1:$AB$290,MATCH(Tool!$A36,'IDF Distributions'!$A$1:$A$290,0),MATCH(Tool!B$5,'IDF Distributions'!$A$1:$AB$1,0))*$I$6</f>
        <v>0.15094124237824816</v>
      </c>
      <c r="C36" s="24">
        <f t="shared" si="2"/>
        <v>3.7659839973372953</v>
      </c>
      <c r="D36" s="57">
        <f t="shared" si="0"/>
        <v>1.811294908538978</v>
      </c>
      <c r="E36" s="59" t="str">
        <f>IF(COUNTIF($D$6:D36,$D$6)&gt;1,"Do Not Copy","Copy")</f>
        <v>Copy</v>
      </c>
    </row>
    <row r="37" spans="1:5" x14ac:dyDescent="0.25">
      <c r="A37" s="14">
        <f t="shared" si="1"/>
        <v>0.10763888888888892</v>
      </c>
      <c r="B37" s="27">
        <f>INDEX('IDF Distributions'!$A$1:$AB$290,MATCH(Tool!$A37,'IDF Distributions'!$A$1:$A$290,0),MATCH(Tool!B$5,'IDF Distributions'!$A$1:$AB$1,0))*$I$6</f>
        <v>0.15094124237824816</v>
      </c>
      <c r="C37" s="24">
        <f t="shared" si="2"/>
        <v>3.9169252397155434</v>
      </c>
      <c r="D37" s="57">
        <f t="shared" si="0"/>
        <v>1.811294908538978</v>
      </c>
      <c r="E37" s="59" t="str">
        <f>IF(COUNTIF($D$6:D37,$D$6)&gt;1,"Do Not Copy","Copy")</f>
        <v>Copy</v>
      </c>
    </row>
    <row r="38" spans="1:5" x14ac:dyDescent="0.25">
      <c r="A38" s="14">
        <f t="shared" si="1"/>
        <v>0.11111111111111115</v>
      </c>
      <c r="B38" s="27">
        <f>INDEX('IDF Distributions'!$A$1:$AB$290,MATCH(Tool!$A38,'IDF Distributions'!$A$1:$A$290,0),MATCH(Tool!B$5,'IDF Distributions'!$A$1:$AB$1,0))*$I$6</f>
        <v>0.15094124237824896</v>
      </c>
      <c r="C38" s="24">
        <f t="shared" si="2"/>
        <v>4.067866482093792</v>
      </c>
      <c r="D38" s="57">
        <f t="shared" si="0"/>
        <v>1.8112949085389876</v>
      </c>
      <c r="E38" s="59" t="str">
        <f>IF(COUNTIF($D$6:D38,$D$6)&gt;1,"Do Not Copy","Copy")</f>
        <v>Copy</v>
      </c>
    </row>
    <row r="39" spans="1:5" x14ac:dyDescent="0.25">
      <c r="A39" s="14">
        <f t="shared" si="1"/>
        <v>0.11458333333333337</v>
      </c>
      <c r="B39" s="27">
        <f>INDEX('IDF Distributions'!$A$1:$AB$290,MATCH(Tool!$A39,'IDF Distributions'!$A$1:$A$290,0),MATCH(Tool!B$5,'IDF Distributions'!$A$1:$AB$1,0))*$I$6</f>
        <v>0.15094124237824816</v>
      </c>
      <c r="C39" s="24">
        <f t="shared" si="2"/>
        <v>4.2188077244720406</v>
      </c>
      <c r="D39" s="57">
        <f t="shared" si="0"/>
        <v>1.811294908538978</v>
      </c>
      <c r="E39" s="59" t="str">
        <f>IF(COUNTIF($D$6:D39,$D$6)&gt;1,"Do Not Copy","Copy")</f>
        <v>Copy</v>
      </c>
    </row>
    <row r="40" spans="1:5" x14ac:dyDescent="0.25">
      <c r="A40" s="14">
        <f t="shared" si="1"/>
        <v>0.11805555555555559</v>
      </c>
      <c r="B40" s="27">
        <f>INDEX('IDF Distributions'!$A$1:$AB$290,MATCH(Tool!$A40,'IDF Distributions'!$A$1:$A$290,0),MATCH(Tool!B$5,'IDF Distributions'!$A$1:$AB$1,0))*$I$6</f>
        <v>0.15094124237824738</v>
      </c>
      <c r="C40" s="24">
        <f t="shared" si="2"/>
        <v>4.3697489668502882</v>
      </c>
      <c r="D40" s="57">
        <f t="shared" si="0"/>
        <v>1.8112949085389687</v>
      </c>
      <c r="E40" s="59" t="str">
        <f>IF(COUNTIF($D$6:D40,$D$6)&gt;1,"Do Not Copy","Copy")</f>
        <v>Copy</v>
      </c>
    </row>
    <row r="41" spans="1:5" x14ac:dyDescent="0.25">
      <c r="A41" s="14">
        <f t="shared" si="1"/>
        <v>0.12152777777777782</v>
      </c>
      <c r="B41" s="27">
        <f>INDEX('IDF Distributions'!$A$1:$AB$290,MATCH(Tool!$A41,'IDF Distributions'!$A$1:$A$290,0),MATCH(Tool!B$5,'IDF Distributions'!$A$1:$AB$1,0))*$I$6</f>
        <v>0.15094124237824896</v>
      </c>
      <c r="C41" s="24">
        <f t="shared" si="2"/>
        <v>4.5206902092285368</v>
      </c>
      <c r="D41" s="57">
        <f t="shared" si="0"/>
        <v>1.8112949085389876</v>
      </c>
      <c r="E41" s="59" t="str">
        <f>IF(COUNTIF($D$6:D41,$D$6)&gt;1,"Do Not Copy","Copy")</f>
        <v>Copy</v>
      </c>
    </row>
    <row r="42" spans="1:5" x14ac:dyDescent="0.25">
      <c r="A42" s="14">
        <f t="shared" si="1"/>
        <v>0.12500000000000003</v>
      </c>
      <c r="B42" s="27">
        <f>INDEX('IDF Distributions'!$A$1:$AB$290,MATCH(Tool!$A42,'IDF Distributions'!$A$1:$A$290,0),MATCH(Tool!B$5,'IDF Distributions'!$A$1:$AB$1,0))*$I$6</f>
        <v>0.14999785961338422</v>
      </c>
      <c r="C42" s="24">
        <f t="shared" si="2"/>
        <v>4.6706880688419208</v>
      </c>
      <c r="D42" s="57">
        <f t="shared" si="0"/>
        <v>1.7999743153606107</v>
      </c>
      <c r="E42" s="59" t="str">
        <f>IF(COUNTIF($D$6:D42,$D$6)&gt;1,"Do Not Copy","Copy")</f>
        <v>Copy</v>
      </c>
    </row>
    <row r="43" spans="1:5" x14ac:dyDescent="0.25">
      <c r="A43" s="14">
        <f t="shared" si="1"/>
        <v>0.12847222222222224</v>
      </c>
      <c r="B43" s="27">
        <f>INDEX('IDF Distributions'!$A$1:$AB$290,MATCH(Tool!$A43,'IDF Distributions'!$A$1:$A$290,0),MATCH(Tool!B$5,'IDF Distributions'!$A$1:$AB$1,0))*$I$6</f>
        <v>0.14622432855392764</v>
      </c>
      <c r="C43" s="24">
        <f t="shared" si="2"/>
        <v>4.8169123973958481</v>
      </c>
      <c r="D43" s="57">
        <f t="shared" si="0"/>
        <v>1.7546919426471317</v>
      </c>
      <c r="E43" s="59" t="str">
        <f>IF(COUNTIF($D$6:D43,$D$6)&gt;1,"Do Not Copy","Copy")</f>
        <v>Copy</v>
      </c>
    </row>
    <row r="44" spans="1:5" x14ac:dyDescent="0.25">
      <c r="A44" s="14">
        <f t="shared" si="1"/>
        <v>0.13194444444444445</v>
      </c>
      <c r="B44" s="27">
        <f>INDEX('IDF Distributions'!$A$1:$AB$290,MATCH(Tool!$A44,'IDF Distributions'!$A$1:$A$290,0),MATCH(Tool!B$5,'IDF Distributions'!$A$1:$AB$1,0))*$I$6</f>
        <v>0.15094124237824896</v>
      </c>
      <c r="C44" s="24">
        <f t="shared" si="2"/>
        <v>4.9678536397740967</v>
      </c>
      <c r="D44" s="57">
        <f t="shared" si="0"/>
        <v>1.8112949085389876</v>
      </c>
      <c r="E44" s="59" t="str">
        <f>IF(COUNTIF($D$6:D44,$D$6)&gt;1,"Do Not Copy","Copy")</f>
        <v>Copy</v>
      </c>
    </row>
    <row r="45" spans="1:5" x14ac:dyDescent="0.25">
      <c r="A45" s="14">
        <f t="shared" si="1"/>
        <v>0.13541666666666666</v>
      </c>
      <c r="B45" s="27">
        <f>INDEX('IDF Distributions'!$A$1:$AB$290,MATCH(Tool!$A45,'IDF Distributions'!$A$1:$A$290,0),MATCH(Tool!B$5,'IDF Distributions'!$A$1:$AB$1,0))*$I$6</f>
        <v>0.15094124237824816</v>
      </c>
      <c r="C45" s="24">
        <f t="shared" si="2"/>
        <v>5.1187948821523452</v>
      </c>
      <c r="D45" s="57">
        <f t="shared" si="0"/>
        <v>1.811294908538978</v>
      </c>
      <c r="E45" s="59" t="str">
        <f>IF(COUNTIF($D$6:D45,$D$6)&gt;1,"Do Not Copy","Copy")</f>
        <v>Copy</v>
      </c>
    </row>
    <row r="46" spans="1:5" x14ac:dyDescent="0.25">
      <c r="A46" s="14">
        <f t="shared" si="1"/>
        <v>0.13888888888888887</v>
      </c>
      <c r="B46" s="27">
        <f>INDEX('IDF Distributions'!$A$1:$AB$290,MATCH(Tool!$A46,'IDF Distributions'!$A$1:$A$290,0),MATCH(Tool!B$5,'IDF Distributions'!$A$1:$AB$1,0))*$I$6</f>
        <v>0.15094124237824816</v>
      </c>
      <c r="C46" s="24">
        <f t="shared" si="2"/>
        <v>5.2697361245305938</v>
      </c>
      <c r="D46" s="57">
        <f t="shared" si="0"/>
        <v>1.811294908538978</v>
      </c>
      <c r="E46" s="59" t="str">
        <f>IF(COUNTIF($D$6:D46,$D$6)&gt;1,"Do Not Copy","Copy")</f>
        <v>Copy</v>
      </c>
    </row>
    <row r="47" spans="1:5" x14ac:dyDescent="0.25">
      <c r="A47" s="14">
        <f t="shared" si="1"/>
        <v>0.14236111111111108</v>
      </c>
      <c r="B47" s="27">
        <f>INDEX('IDF Distributions'!$A$1:$AB$290,MATCH(Tool!$A47,'IDF Distributions'!$A$1:$A$290,0),MATCH(Tool!B$5,'IDF Distributions'!$A$1:$AB$1,0))*$I$6</f>
        <v>0.15282800790797685</v>
      </c>
      <c r="C47" s="24">
        <f t="shared" si="2"/>
        <v>5.4225641324385707</v>
      </c>
      <c r="D47" s="57">
        <f t="shared" si="0"/>
        <v>1.8339360948957222</v>
      </c>
      <c r="E47" s="59" t="str">
        <f>IF(COUNTIF($D$6:D47,$D$6)&gt;1,"Do Not Copy","Copy")</f>
        <v>Copy</v>
      </c>
    </row>
    <row r="48" spans="1:5" x14ac:dyDescent="0.25">
      <c r="A48" s="14">
        <f t="shared" si="1"/>
        <v>0.14583333333333329</v>
      </c>
      <c r="B48" s="27">
        <f>INDEX('IDF Distributions'!$A$1:$AB$290,MATCH(Tool!$A48,'IDF Distributions'!$A$1:$A$290,0),MATCH(Tool!B$5,'IDF Distributions'!$A$1:$AB$1,0))*$I$6</f>
        <v>0.15754492173229659</v>
      </c>
      <c r="C48" s="24">
        <f t="shared" si="2"/>
        <v>5.5801090541708671</v>
      </c>
      <c r="D48" s="57">
        <f t="shared" si="0"/>
        <v>1.890539060787559</v>
      </c>
      <c r="E48" s="59" t="str">
        <f>IF(COUNTIF($D$6:D48,$D$6)&gt;1,"Do Not Copy","Copy")</f>
        <v>Copy</v>
      </c>
    </row>
    <row r="49" spans="1:5" x14ac:dyDescent="0.25">
      <c r="A49" s="14">
        <f t="shared" si="1"/>
        <v>0.1493055555555555</v>
      </c>
      <c r="B49" s="27">
        <f>INDEX('IDF Distributions'!$A$1:$AB$290,MATCH(Tool!$A49,'IDF Distributions'!$A$1:$A$290,0),MATCH(Tool!B$5,'IDF Distributions'!$A$1:$AB$1,0))*$I$6</f>
        <v>0.16509198385120896</v>
      </c>
      <c r="C49" s="24">
        <f t="shared" si="2"/>
        <v>5.7452010380220759</v>
      </c>
      <c r="D49" s="57">
        <f t="shared" si="0"/>
        <v>1.9811038062145077</v>
      </c>
      <c r="E49" s="59" t="str">
        <f>IF(COUNTIF($D$6:D49,$D$6)&gt;1,"Do Not Copy","Copy")</f>
        <v>Copy</v>
      </c>
    </row>
    <row r="50" spans="1:5" x14ac:dyDescent="0.25">
      <c r="A50" s="14">
        <f t="shared" si="1"/>
        <v>0.15277777777777771</v>
      </c>
      <c r="B50" s="27">
        <f>INDEX('IDF Distributions'!$A$1:$AB$290,MATCH(Tool!$A50,'IDF Distributions'!$A$1:$A$290,0),MATCH(Tool!B$5,'IDF Distributions'!$A$1:$AB$1,0))*$I$6</f>
        <v>0.1698088976755287</v>
      </c>
      <c r="C50" s="24">
        <f t="shared" si="2"/>
        <v>5.9150099356976042</v>
      </c>
      <c r="D50" s="57">
        <f t="shared" si="0"/>
        <v>2.0377067721063442</v>
      </c>
      <c r="E50" s="59" t="str">
        <f>IF(COUNTIF($D$6:D50,$D$6)&gt;1,"Do Not Copy","Copy")</f>
        <v>Copy</v>
      </c>
    </row>
    <row r="51" spans="1:5" x14ac:dyDescent="0.25">
      <c r="A51" s="14">
        <f t="shared" si="1"/>
        <v>0.15624999999999992</v>
      </c>
      <c r="B51" s="27">
        <f>INDEX('IDF Distributions'!$A$1:$AB$290,MATCH(Tool!$A51,'IDF Distributions'!$A$1:$A$290,0),MATCH(Tool!B$5,'IDF Distributions'!$A$1:$AB$1,0))*$I$6</f>
        <v>0.16603536661607371</v>
      </c>
      <c r="C51" s="24">
        <f t="shared" si="2"/>
        <v>6.0810453023136777</v>
      </c>
      <c r="D51" s="57">
        <f t="shared" si="0"/>
        <v>1.9924243993928845</v>
      </c>
      <c r="E51" s="59" t="str">
        <f>IF(COUNTIF($D$6:D51,$D$6)&gt;1,"Do Not Copy","Copy")</f>
        <v>Copy</v>
      </c>
    </row>
    <row r="52" spans="1:5" x14ac:dyDescent="0.25">
      <c r="A52" s="14">
        <f t="shared" si="1"/>
        <v>0.15972222222222213</v>
      </c>
      <c r="B52" s="27">
        <f>INDEX('IDF Distributions'!$A$1:$AB$290,MATCH(Tool!$A52,'IDF Distributions'!$A$1:$A$290,0),MATCH(Tool!B$5,'IDF Distributions'!$A$1:$AB$1,0))*$I$6</f>
        <v>0.17075228044039265</v>
      </c>
      <c r="C52" s="24">
        <f t="shared" si="2"/>
        <v>6.2517975827540706</v>
      </c>
      <c r="D52" s="57">
        <f t="shared" si="0"/>
        <v>2.0490273652847115</v>
      </c>
      <c r="E52" s="59" t="str">
        <f>IF(COUNTIF($D$6:D52,$D$6)&gt;1,"Do Not Copy","Copy")</f>
        <v>Copy</v>
      </c>
    </row>
    <row r="53" spans="1:5" x14ac:dyDescent="0.25">
      <c r="A53" s="14">
        <f t="shared" si="1"/>
        <v>0.16319444444444434</v>
      </c>
      <c r="B53" s="27">
        <f>INDEX('IDF Distributions'!$A$1:$AB$290,MATCH(Tool!$A53,'IDF Distributions'!$A$1:$A$290,0),MATCH(Tool!B$5,'IDF Distributions'!$A$1:$AB$1,0))*$I$6</f>
        <v>0.17452581149985003</v>
      </c>
      <c r="C53" s="24">
        <f t="shared" si="2"/>
        <v>6.4263233942539202</v>
      </c>
      <c r="D53" s="57">
        <f t="shared" si="0"/>
        <v>2.0943097379982003</v>
      </c>
      <c r="E53" s="59" t="str">
        <f>IF(COUNTIF($D$6:D53,$D$6)&gt;1,"Do Not Copy","Copy")</f>
        <v>Copy</v>
      </c>
    </row>
    <row r="54" spans="1:5" x14ac:dyDescent="0.25">
      <c r="A54" s="14">
        <f t="shared" si="1"/>
        <v>0.16666666666666655</v>
      </c>
      <c r="B54" s="27">
        <f>INDEX('IDF Distributions'!$A$1:$AB$290,MATCH(Tool!$A54,'IDF Distributions'!$A$1:$A$290,0),MATCH(Tool!B$5,'IDF Distributions'!$A$1:$AB$1,0))*$I$6</f>
        <v>0.17452581149985003</v>
      </c>
      <c r="C54" s="24">
        <f t="shared" si="2"/>
        <v>6.6008492057537698</v>
      </c>
      <c r="D54" s="57">
        <f t="shared" si="0"/>
        <v>2.0943097379982003</v>
      </c>
      <c r="E54" s="59" t="str">
        <f>IF(COUNTIF($D$6:D54,$D$6)&gt;1,"Do Not Copy","Copy")</f>
        <v>Copy</v>
      </c>
    </row>
    <row r="55" spans="1:5" x14ac:dyDescent="0.25">
      <c r="A55" s="14">
        <f t="shared" si="1"/>
        <v>0.17013888888888876</v>
      </c>
      <c r="B55" s="27">
        <f>INDEX('IDF Distributions'!$A$1:$AB$290,MATCH(Tool!$A55,'IDF Distributions'!$A$1:$A$290,0),MATCH(Tool!B$5,'IDF Distributions'!$A$1:$AB$1,0))*$I$6</f>
        <v>0.17452581149984922</v>
      </c>
      <c r="C55" s="24">
        <f t="shared" si="2"/>
        <v>6.7753750172536193</v>
      </c>
      <c r="D55" s="57">
        <f t="shared" si="0"/>
        <v>2.0943097379981905</v>
      </c>
      <c r="E55" s="59" t="str">
        <f>IF(COUNTIF($D$6:D55,$D$6)&gt;1,"Do Not Copy","Copy")</f>
        <v>Copy</v>
      </c>
    </row>
    <row r="56" spans="1:5" x14ac:dyDescent="0.25">
      <c r="A56" s="14">
        <f t="shared" si="1"/>
        <v>0.17361111111111097</v>
      </c>
      <c r="B56" s="27">
        <f>INDEX('IDF Distributions'!$A$1:$AB$290,MATCH(Tool!$A56,'IDF Distributions'!$A$1:$A$290,0),MATCH(Tool!B$5,'IDF Distributions'!$A$1:$AB$1,0))*$I$6</f>
        <v>0.17452581149984922</v>
      </c>
      <c r="C56" s="24">
        <f t="shared" si="2"/>
        <v>6.9499008287534689</v>
      </c>
      <c r="D56" s="57">
        <f t="shared" si="0"/>
        <v>2.0943097379981905</v>
      </c>
      <c r="E56" s="59" t="str">
        <f>IF(COUNTIF($D$6:D56,$D$6)&gt;1,"Do Not Copy","Copy")</f>
        <v>Copy</v>
      </c>
    </row>
    <row r="57" spans="1:5" x14ac:dyDescent="0.25">
      <c r="A57" s="14">
        <f t="shared" si="1"/>
        <v>0.17708333333333318</v>
      </c>
      <c r="B57" s="27">
        <f>INDEX('IDF Distributions'!$A$1:$AB$290,MATCH(Tool!$A57,'IDF Distributions'!$A$1:$A$290,0),MATCH(Tool!B$5,'IDF Distributions'!$A$1:$AB$1,0))*$I$6</f>
        <v>0.1782993425593066</v>
      </c>
      <c r="C57" s="24">
        <f t="shared" si="2"/>
        <v>7.1282001713127752</v>
      </c>
      <c r="D57" s="57">
        <f t="shared" si="0"/>
        <v>2.1395921107116793</v>
      </c>
      <c r="E57" s="59" t="str">
        <f>IF(COUNTIF($D$6:D57,$D$6)&gt;1,"Do Not Copy","Copy")</f>
        <v>Copy</v>
      </c>
    </row>
    <row r="58" spans="1:5" x14ac:dyDescent="0.25">
      <c r="A58" s="14">
        <f t="shared" si="1"/>
        <v>0.18055555555555539</v>
      </c>
      <c r="B58" s="27">
        <f>INDEX('IDF Distributions'!$A$1:$AB$290,MATCH(Tool!$A58,'IDF Distributions'!$A$1:$A$290,0),MATCH(Tool!B$5,'IDF Distributions'!$A$1:$AB$1,0))*$I$6</f>
        <v>0.18207287361876082</v>
      </c>
      <c r="C58" s="24">
        <f t="shared" si="2"/>
        <v>7.3102730449315363</v>
      </c>
      <c r="D58" s="57">
        <f t="shared" si="0"/>
        <v>2.1848744834251299</v>
      </c>
      <c r="E58" s="59" t="str">
        <f>IF(COUNTIF($D$6:D58,$D$6)&gt;1,"Do Not Copy","Copy")</f>
        <v>Copy</v>
      </c>
    </row>
    <row r="59" spans="1:5" x14ac:dyDescent="0.25">
      <c r="A59" s="14">
        <f t="shared" si="1"/>
        <v>0.1840277777777776</v>
      </c>
      <c r="B59" s="27">
        <f>INDEX('IDF Distributions'!$A$1:$AB$290,MATCH(Tool!$A59,'IDF Distributions'!$A$1:$A$290,0),MATCH(Tool!B$5,'IDF Distributions'!$A$1:$AB$1,0))*$I$6</f>
        <v>0.18395963914849028</v>
      </c>
      <c r="C59" s="24">
        <f t="shared" si="2"/>
        <v>7.4942326840800266</v>
      </c>
      <c r="D59" s="57">
        <f t="shared" si="0"/>
        <v>2.2075156697818832</v>
      </c>
      <c r="E59" s="59" t="str">
        <f>IF(COUNTIF($D$6:D59,$D$6)&gt;1,"Do Not Copy","Copy")</f>
        <v>Copy</v>
      </c>
    </row>
    <row r="60" spans="1:5" x14ac:dyDescent="0.25">
      <c r="A60" s="14">
        <f t="shared" si="1"/>
        <v>0.18749999999999981</v>
      </c>
      <c r="B60" s="27">
        <f>INDEX('IDF Distributions'!$A$1:$AB$290,MATCH(Tool!$A60,'IDF Distributions'!$A$1:$A$290,0),MATCH(Tool!B$5,'IDF Distributions'!$A$1:$AB$1,0))*$I$6</f>
        <v>0.18490302191335581</v>
      </c>
      <c r="C60" s="24">
        <f t="shared" si="2"/>
        <v>7.6791357059933825</v>
      </c>
      <c r="D60" s="57">
        <f t="shared" si="0"/>
        <v>2.2188362629602696</v>
      </c>
      <c r="E60" s="59" t="str">
        <f>IF(COUNTIF($D$6:D60,$D$6)&gt;1,"Do Not Copy","Copy")</f>
        <v>Copy</v>
      </c>
    </row>
    <row r="61" spans="1:5" x14ac:dyDescent="0.25">
      <c r="A61" s="14">
        <f t="shared" si="1"/>
        <v>0.19097222222222202</v>
      </c>
      <c r="B61" s="27">
        <f>INDEX('IDF Distributions'!$A$1:$AB$290,MATCH(Tool!$A61,'IDF Distributions'!$A$1:$A$290,0),MATCH(Tool!B$5,'IDF Distributions'!$A$1:$AB$1,0))*$I$6</f>
        <v>0.18867655297281002</v>
      </c>
      <c r="C61" s="24">
        <f t="shared" si="2"/>
        <v>7.8678122589661923</v>
      </c>
      <c r="D61" s="57">
        <f t="shared" si="0"/>
        <v>2.2641186356737202</v>
      </c>
      <c r="E61" s="59" t="str">
        <f>IF(COUNTIF($D$6:D61,$D$6)&gt;1,"Do Not Copy","Copy")</f>
        <v>Copy</v>
      </c>
    </row>
    <row r="62" spans="1:5" x14ac:dyDescent="0.25">
      <c r="A62" s="14">
        <f t="shared" si="1"/>
        <v>0.19444444444444423</v>
      </c>
      <c r="B62" s="27">
        <f>INDEX('IDF Distributions'!$A$1:$AB$290,MATCH(Tool!$A62,'IDF Distributions'!$A$1:$A$290,0),MATCH(Tool!B$5,'IDF Distributions'!$A$1:$AB$1,0))*$I$6</f>
        <v>0.19339346679712976</v>
      </c>
      <c r="C62" s="24">
        <f t="shared" si="2"/>
        <v>8.0612057257633225</v>
      </c>
      <c r="D62" s="57">
        <f t="shared" si="0"/>
        <v>2.3207216015655572</v>
      </c>
      <c r="E62" s="59" t="str">
        <f>IF(COUNTIF($D$6:D62,$D$6)&gt;1,"Do Not Copy","Copy")</f>
        <v>Copy</v>
      </c>
    </row>
    <row r="63" spans="1:5" x14ac:dyDescent="0.25">
      <c r="A63" s="14">
        <f t="shared" si="1"/>
        <v>0.19791666666666644</v>
      </c>
      <c r="B63" s="27">
        <f>INDEX('IDF Distributions'!$A$1:$AB$290,MATCH(Tool!$A63,'IDF Distributions'!$A$1:$A$290,0),MATCH(Tool!B$5,'IDF Distributions'!$A$1:$AB$1,0))*$I$6</f>
        <v>0.19716699785658712</v>
      </c>
      <c r="C63" s="24">
        <f t="shared" si="2"/>
        <v>8.2583727236199103</v>
      </c>
      <c r="D63" s="57">
        <f t="shared" si="0"/>
        <v>2.3660039742790455</v>
      </c>
      <c r="E63" s="59" t="str">
        <f>IF(COUNTIF($D$6:D63,$D$6)&gt;1,"Do Not Copy","Copy")</f>
        <v>Copy</v>
      </c>
    </row>
    <row r="64" spans="1:5" x14ac:dyDescent="0.25">
      <c r="A64" s="14">
        <f t="shared" si="1"/>
        <v>0.20138888888888865</v>
      </c>
      <c r="B64" s="27">
        <f>INDEX('IDF Distributions'!$A$1:$AB$290,MATCH(Tool!$A64,'IDF Distributions'!$A$1:$A$290,0),MATCH(Tool!B$5,'IDF Distributions'!$A$1:$AB$1,0))*$I$6</f>
        <v>0.20094052891604292</v>
      </c>
      <c r="C64" s="24">
        <f t="shared" si="2"/>
        <v>8.4593132525359529</v>
      </c>
      <c r="D64" s="57">
        <f t="shared" si="0"/>
        <v>2.4112863469925152</v>
      </c>
      <c r="E64" s="59" t="str">
        <f>IF(COUNTIF($D$6:D64,$D$6)&gt;1,"Do Not Copy","Copy")</f>
        <v>Copy</v>
      </c>
    </row>
    <row r="65" spans="1:5" x14ac:dyDescent="0.25">
      <c r="A65" s="14">
        <f t="shared" si="1"/>
        <v>0.20486111111111086</v>
      </c>
      <c r="B65" s="27">
        <f>INDEX('IDF Distributions'!$A$1:$AB$290,MATCH(Tool!$A65,'IDF Distributions'!$A$1:$A$290,0),MATCH(Tool!B$5,'IDF Distributions'!$A$1:$AB$1,0))*$I$6</f>
        <v>0.20471405997550027</v>
      </c>
      <c r="C65" s="24">
        <f t="shared" si="2"/>
        <v>8.664027312511454</v>
      </c>
      <c r="D65" s="57">
        <f t="shared" si="0"/>
        <v>2.4565687197060031</v>
      </c>
      <c r="E65" s="59" t="str">
        <f>IF(COUNTIF($D$6:D65,$D$6)&gt;1,"Do Not Copy","Copy")</f>
        <v>Copy</v>
      </c>
    </row>
    <row r="66" spans="1:5" x14ac:dyDescent="0.25">
      <c r="A66" s="14">
        <f t="shared" si="1"/>
        <v>0.20833333333333307</v>
      </c>
      <c r="B66" s="27">
        <f>INDEX('IDF Distributions'!$A$1:$AB$290,MATCH(Tool!$A66,'IDF Distributions'!$A$1:$A$290,0),MATCH(Tool!B$5,'IDF Distributions'!$A$1:$AB$1,0))*$I$6</f>
        <v>0.20943097379981845</v>
      </c>
      <c r="C66" s="24">
        <f t="shared" si="2"/>
        <v>8.8734582863112728</v>
      </c>
      <c r="D66" s="57">
        <f t="shared" si="0"/>
        <v>2.5131716855978214</v>
      </c>
      <c r="E66" s="59" t="str">
        <f>IF(COUNTIF($D$6:D66,$D$6)&gt;1,"Do Not Copy","Copy")</f>
        <v>Copy</v>
      </c>
    </row>
    <row r="67" spans="1:5" x14ac:dyDescent="0.25">
      <c r="A67" s="14">
        <f t="shared" si="1"/>
        <v>0.21180555555555527</v>
      </c>
      <c r="B67" s="27">
        <f>INDEX('IDF Distributions'!$A$1:$AB$290,MATCH(Tool!$A67,'IDF Distributions'!$A$1:$A$290,0),MATCH(Tool!B$5,'IDF Distributions'!$A$1:$AB$1,0))*$I$6</f>
        <v>0.2169780359187316</v>
      </c>
      <c r="C67" s="24">
        <f t="shared" si="2"/>
        <v>9.0904363222300049</v>
      </c>
      <c r="D67" s="57">
        <f t="shared" si="0"/>
        <v>2.603736431024779</v>
      </c>
      <c r="E67" s="59" t="str">
        <f>IF(COUNTIF($D$6:D67,$D$6)&gt;1,"Do Not Copy","Copy")</f>
        <v>Copy</v>
      </c>
    </row>
    <row r="68" spans="1:5" x14ac:dyDescent="0.25">
      <c r="A68" s="14">
        <f t="shared" si="1"/>
        <v>0.21527777777777748</v>
      </c>
      <c r="B68" s="27">
        <f>INDEX('IDF Distributions'!$A$1:$AB$290,MATCH(Tool!$A68,'IDF Distributions'!$A$1:$A$290,0),MATCH(Tool!B$5,'IDF Distributions'!$A$1:$AB$1,0))*$I$6</f>
        <v>0.2216949497430529</v>
      </c>
      <c r="C68" s="24">
        <f t="shared" si="2"/>
        <v>9.3121312719730582</v>
      </c>
      <c r="D68" s="57">
        <f t="shared" si="0"/>
        <v>2.6603393969166347</v>
      </c>
      <c r="E68" s="59" t="str">
        <f>IF(COUNTIF($D$6:D68,$D$6)&gt;1,"Do Not Copy","Copy")</f>
        <v>Copy</v>
      </c>
    </row>
    <row r="69" spans="1:5" x14ac:dyDescent="0.25">
      <c r="A69" s="14">
        <f t="shared" si="1"/>
        <v>0.21874999999999969</v>
      </c>
      <c r="B69" s="27">
        <f>INDEX('IDF Distributions'!$A$1:$AB$290,MATCH(Tool!$A69,'IDF Distributions'!$A$1:$A$290,0),MATCH(Tool!B$5,'IDF Distributions'!$A$1:$AB$1,0))*$I$6</f>
        <v>0.2254684808025087</v>
      </c>
      <c r="C69" s="24">
        <f t="shared" si="2"/>
        <v>9.5375997527755665</v>
      </c>
      <c r="D69" s="57">
        <f t="shared" si="0"/>
        <v>2.7056217696301044</v>
      </c>
      <c r="E69" s="59" t="str">
        <f>IF(COUNTIF($D$6:D69,$D$6)&gt;1,"Do Not Copy","Copy")</f>
        <v>Copy</v>
      </c>
    </row>
    <row r="70" spans="1:5" x14ac:dyDescent="0.25">
      <c r="A70" s="14">
        <f t="shared" si="1"/>
        <v>0.2222222222222219</v>
      </c>
      <c r="B70" s="27">
        <f>INDEX('IDF Distributions'!$A$1:$AB$290,MATCH(Tool!$A70,'IDF Distributions'!$A$1:$A$290,0),MATCH(Tool!B$5,'IDF Distributions'!$A$1:$AB$1,0))*$I$6</f>
        <v>0.22924201186196291</v>
      </c>
      <c r="C70" s="24">
        <f t="shared" si="2"/>
        <v>9.7668417646375296</v>
      </c>
      <c r="D70" s="57">
        <f t="shared" si="0"/>
        <v>2.750904142343555</v>
      </c>
      <c r="E70" s="59" t="str">
        <f>IF(COUNTIF($D$6:D70,$D$6)&gt;1,"Do Not Copy","Copy")</f>
        <v>Copy</v>
      </c>
    </row>
    <row r="71" spans="1:5" x14ac:dyDescent="0.25">
      <c r="A71" s="14">
        <f t="shared" si="1"/>
        <v>0.22569444444444411</v>
      </c>
      <c r="B71" s="27">
        <f>INDEX('IDF Distributions'!$A$1:$AB$290,MATCH(Tool!$A71,'IDF Distributions'!$A$1:$A$290,0),MATCH(Tool!B$5,'IDF Distributions'!$A$1:$AB$1,0))*$I$6</f>
        <v>0.23301554292142185</v>
      </c>
      <c r="C71" s="24">
        <f t="shared" si="2"/>
        <v>9.9998573075589512</v>
      </c>
      <c r="D71" s="57">
        <f t="shared" ref="D71:D134" si="3">B71*12</f>
        <v>2.7961865150570624</v>
      </c>
      <c r="E71" s="59" t="str">
        <f>IF(COUNTIF($D$6:D71,$D$6)&gt;1,"Do Not Copy","Copy")</f>
        <v>Copy</v>
      </c>
    </row>
    <row r="72" spans="1:5" x14ac:dyDescent="0.25">
      <c r="A72" s="14">
        <f t="shared" ref="A72:A135" si="4">A71+TIME(0,5,0)</f>
        <v>0.22916666666666632</v>
      </c>
      <c r="B72" s="27">
        <f>INDEX('IDF Distributions'!$A$1:$AB$290,MATCH(Tool!$A72,'IDF Distributions'!$A$1:$A$290,0),MATCH(Tool!B$5,'IDF Distributions'!$A$1:$AB$1,0))*$I$6</f>
        <v>0.23490230845114818</v>
      </c>
      <c r="C72" s="24">
        <f t="shared" ref="C72:C135" si="5">B72+C71</f>
        <v>10.2347596160101</v>
      </c>
      <c r="D72" s="57">
        <f t="shared" si="3"/>
        <v>2.8188277014137784</v>
      </c>
      <c r="E72" s="59" t="str">
        <f>IF(COUNTIF($D$6:D72,$D$6)&gt;1,"Do Not Copy","Copy")</f>
        <v>Copy</v>
      </c>
    </row>
    <row r="73" spans="1:5" x14ac:dyDescent="0.25">
      <c r="A73" s="14">
        <f t="shared" si="4"/>
        <v>0.23263888888888853</v>
      </c>
      <c r="B73" s="27">
        <f>INDEX('IDF Distributions'!$A$1:$AB$290,MATCH(Tool!$A73,'IDF Distributions'!$A$1:$A$290,0),MATCH(Tool!B$5,'IDF Distributions'!$A$1:$AB$1,0))*$I$6</f>
        <v>0.23112877739169396</v>
      </c>
      <c r="C73" s="24">
        <f t="shared" si="5"/>
        <v>10.465888393401794</v>
      </c>
      <c r="D73" s="57">
        <f t="shared" si="3"/>
        <v>2.7735453287003278</v>
      </c>
      <c r="E73" s="59" t="str">
        <f>IF(COUNTIF($D$6:D73,$D$6)&gt;1,"Do Not Copy","Copy")</f>
        <v>Copy</v>
      </c>
    </row>
    <row r="74" spans="1:5" x14ac:dyDescent="0.25">
      <c r="A74" s="14">
        <f t="shared" si="4"/>
        <v>0.23611111111111074</v>
      </c>
      <c r="B74" s="27">
        <f>INDEX('IDF Distributions'!$A$1:$AB$290,MATCH(Tool!$A74,'IDF Distributions'!$A$1:$A$290,0),MATCH(Tool!B$5,'IDF Distributions'!$A$1:$AB$1,0))*$I$6</f>
        <v>0.24056260504033344</v>
      </c>
      <c r="C74" s="24">
        <f t="shared" si="5"/>
        <v>10.706450998442127</v>
      </c>
      <c r="D74" s="57">
        <f t="shared" si="3"/>
        <v>2.8867512604840013</v>
      </c>
      <c r="E74" s="59" t="str">
        <f>IF(COUNTIF($D$6:D74,$D$6)&gt;1,"Do Not Copy","Copy")</f>
        <v>Copy</v>
      </c>
    </row>
    <row r="75" spans="1:5" x14ac:dyDescent="0.25">
      <c r="A75" s="14">
        <f t="shared" si="4"/>
        <v>0.23958333333333295</v>
      </c>
      <c r="B75" s="27">
        <f>INDEX('IDF Distributions'!$A$1:$AB$290,MATCH(Tool!$A75,'IDF Distributions'!$A$1:$A$290,0),MATCH(Tool!B$5,'IDF Distributions'!$A$1:$AB$1,0))*$I$6</f>
        <v>0.24433613609978924</v>
      </c>
      <c r="C75" s="24">
        <f t="shared" si="5"/>
        <v>10.950787134541917</v>
      </c>
      <c r="D75" s="57">
        <f t="shared" si="3"/>
        <v>2.932033633197471</v>
      </c>
      <c r="E75" s="59" t="str">
        <f>IF(COUNTIF($D$6:D75,$D$6)&gt;1,"Do Not Copy","Copy")</f>
        <v>Copy</v>
      </c>
    </row>
    <row r="76" spans="1:5" x14ac:dyDescent="0.25">
      <c r="A76" s="14">
        <f t="shared" si="4"/>
        <v>0.24305555555555516</v>
      </c>
      <c r="B76" s="27">
        <f>INDEX('IDF Distributions'!$A$1:$AB$290,MATCH(Tool!$A76,'IDF Distributions'!$A$1:$A$290,0),MATCH(Tool!B$5,'IDF Distributions'!$A$1:$AB$1,0))*$I$6</f>
        <v>0.24810966715924659</v>
      </c>
      <c r="C76" s="24">
        <f t="shared" si="5"/>
        <v>11.198896801701164</v>
      </c>
      <c r="D76" s="57">
        <f t="shared" si="3"/>
        <v>2.9773160059109589</v>
      </c>
      <c r="E76" s="59" t="str">
        <f>IF(COUNTIF($D$6:D76,$D$6)&gt;1,"Do Not Copy","Copy")</f>
        <v>Copy</v>
      </c>
    </row>
    <row r="77" spans="1:5" x14ac:dyDescent="0.25">
      <c r="A77" s="14">
        <f t="shared" si="4"/>
        <v>0.24652777777777737</v>
      </c>
      <c r="B77" s="27">
        <f>INDEX('IDF Distributions'!$A$1:$AB$290,MATCH(Tool!$A77,'IDF Distributions'!$A$1:$A$290,0),MATCH(Tool!B$5,'IDF Distributions'!$A$1:$AB$1,0))*$I$6</f>
        <v>0.2537699637484287</v>
      </c>
      <c r="C77" s="24">
        <f t="shared" si="5"/>
        <v>11.452666765449592</v>
      </c>
      <c r="D77" s="57">
        <f t="shared" si="3"/>
        <v>3.0452395649811441</v>
      </c>
      <c r="E77" s="59" t="str">
        <f>IF(COUNTIF($D$6:D77,$D$6)&gt;1,"Do Not Copy","Copy")</f>
        <v>Copy</v>
      </c>
    </row>
    <row r="78" spans="1:5" x14ac:dyDescent="0.25">
      <c r="A78" s="14">
        <f t="shared" si="4"/>
        <v>0.24999999999999958</v>
      </c>
      <c r="B78" s="27">
        <f>INDEX('IDF Distributions'!$A$1:$AB$290,MATCH(Tool!$A78,'IDF Distributions'!$A$1:$A$290,0),MATCH(Tool!B$5,'IDF Distributions'!$A$1:$AB$1,0))*$I$6</f>
        <v>0.26414717416193373</v>
      </c>
      <c r="C78" s="24">
        <f t="shared" si="5"/>
        <v>11.716813939611527</v>
      </c>
      <c r="D78" s="57">
        <f t="shared" si="3"/>
        <v>3.169766089943205</v>
      </c>
      <c r="E78" s="59" t="str">
        <f>IF(COUNTIF($D$6:D78,$D$6)&gt;1,"Do Not Copy","Copy")</f>
        <v>Copy</v>
      </c>
    </row>
    <row r="79" spans="1:5" x14ac:dyDescent="0.25">
      <c r="A79" s="14">
        <f t="shared" si="4"/>
        <v>0.25347222222222182</v>
      </c>
      <c r="B79" s="27">
        <f>INDEX('IDF Distributions'!$A$1:$AB$290,MATCH(Tool!$A79,'IDF Distributions'!$A$1:$A$290,0),MATCH(Tool!B$5,'IDF Distributions'!$A$1:$AB$1,0))*$I$6</f>
        <v>0.2830148294592158</v>
      </c>
      <c r="C79" s="24">
        <f t="shared" si="5"/>
        <v>11.999828769070742</v>
      </c>
      <c r="D79" s="57">
        <f t="shared" si="3"/>
        <v>3.3961779535105894</v>
      </c>
      <c r="E79" s="59" t="str">
        <f>IF(COUNTIF($D$6:D79,$D$6)&gt;1,"Do Not Copy","Copy")</f>
        <v>Copy</v>
      </c>
    </row>
    <row r="80" spans="1:5" x14ac:dyDescent="0.25">
      <c r="A80" s="14">
        <f t="shared" si="4"/>
        <v>0.25694444444444403</v>
      </c>
      <c r="B80" s="27">
        <f>INDEX('IDF Distributions'!$A$1:$AB$290,MATCH(Tool!$A80,'IDF Distributions'!$A$1:$A$290,0),MATCH(Tool!B$5,'IDF Distributions'!$A$1:$AB$1,0))*$I$6</f>
        <v>0.28773174328353557</v>
      </c>
      <c r="C80" s="24">
        <f t="shared" si="5"/>
        <v>12.287560512354277</v>
      </c>
      <c r="D80" s="57">
        <f t="shared" si="3"/>
        <v>3.4527809194024268</v>
      </c>
      <c r="E80" s="59" t="str">
        <f>IF(COUNTIF($D$6:D80,$D$6)&gt;1,"Do Not Copy","Copy")</f>
        <v>Copy</v>
      </c>
    </row>
    <row r="81" spans="1:5" x14ac:dyDescent="0.25">
      <c r="A81" s="14">
        <f t="shared" si="4"/>
        <v>0.26041666666666624</v>
      </c>
      <c r="B81" s="27">
        <f>INDEX('IDF Distributions'!$A$1:$AB$290,MATCH(Tool!$A81,'IDF Distributions'!$A$1:$A$290,0),MATCH(Tool!B$5,'IDF Distributions'!$A$1:$AB$1,0))*$I$6</f>
        <v>0.29150527434299289</v>
      </c>
      <c r="C81" s="24">
        <f t="shared" si="5"/>
        <v>12.579065786697271</v>
      </c>
      <c r="D81" s="57">
        <f t="shared" si="3"/>
        <v>3.4980632921159147</v>
      </c>
      <c r="E81" s="59" t="str">
        <f>IF(COUNTIF($D$6:D81,$D$6)&gt;1,"Do Not Copy","Copy")</f>
        <v>Copy</v>
      </c>
    </row>
    <row r="82" spans="1:5" x14ac:dyDescent="0.25">
      <c r="A82" s="14">
        <f t="shared" si="4"/>
        <v>0.26388888888888845</v>
      </c>
      <c r="B82" s="27">
        <f>INDEX('IDF Distributions'!$A$1:$AB$290,MATCH(Tool!$A82,'IDF Distributions'!$A$1:$A$290,0),MATCH(Tool!B$5,'IDF Distributions'!$A$1:$AB$1,0))*$I$6</f>
        <v>0.29527880540244716</v>
      </c>
      <c r="C82" s="24">
        <f t="shared" si="5"/>
        <v>12.874344592099717</v>
      </c>
      <c r="D82" s="57">
        <f t="shared" si="3"/>
        <v>3.5433456648293662</v>
      </c>
      <c r="E82" s="59" t="str">
        <f>IF(COUNTIF($D$6:D82,$D$6)&gt;1,"Do Not Copy","Copy")</f>
        <v>Copy</v>
      </c>
    </row>
    <row r="83" spans="1:5" x14ac:dyDescent="0.25">
      <c r="A83" s="14">
        <f t="shared" si="4"/>
        <v>0.26736111111111066</v>
      </c>
      <c r="B83" s="27">
        <f>INDEX('IDF Distributions'!$A$1:$AB$290,MATCH(Tool!$A83,'IDF Distributions'!$A$1:$A$290,0),MATCH(Tool!B$5,'IDF Distributions'!$A$1:$AB$1,0))*$I$6</f>
        <v>0.29905233646190449</v>
      </c>
      <c r="C83" s="24">
        <f t="shared" si="5"/>
        <v>13.173396928561623</v>
      </c>
      <c r="D83" s="57">
        <f t="shared" si="3"/>
        <v>3.5886280375428541</v>
      </c>
      <c r="E83" s="59" t="str">
        <f>IF(COUNTIF($D$6:D83,$D$6)&gt;1,"Do Not Copy","Copy")</f>
        <v>Copy</v>
      </c>
    </row>
    <row r="84" spans="1:5" x14ac:dyDescent="0.25">
      <c r="A84" s="14">
        <f t="shared" si="4"/>
        <v>0.27083333333333287</v>
      </c>
      <c r="B84" s="27">
        <f>INDEX('IDF Distributions'!$A$1:$AB$290,MATCH(Tool!$A84,'IDF Distributions'!$A$1:$A$290,0),MATCH(Tool!B$5,'IDF Distributions'!$A$1:$AB$1,0))*$I$6</f>
        <v>0.2971655709321766</v>
      </c>
      <c r="C84" s="24">
        <f t="shared" si="5"/>
        <v>13.470562499493798</v>
      </c>
      <c r="D84" s="57">
        <f t="shared" si="3"/>
        <v>3.5659868511861195</v>
      </c>
      <c r="E84" s="59" t="str">
        <f>IF(COUNTIF($D$6:D84,$D$6)&gt;1,"Do Not Copy","Copy")</f>
        <v>Copy</v>
      </c>
    </row>
    <row r="85" spans="1:5" x14ac:dyDescent="0.25">
      <c r="A85" s="14">
        <f t="shared" si="4"/>
        <v>0.27430555555555508</v>
      </c>
      <c r="B85" s="27">
        <f>INDEX('IDF Distributions'!$A$1:$AB$290,MATCH(Tool!$A85,'IDF Distributions'!$A$1:$A$290,0),MATCH(Tool!B$5,'IDF Distributions'!$A$1:$AB$1,0))*$I$6</f>
        <v>0.27829791563489609</v>
      </c>
      <c r="C85" s="24">
        <f t="shared" si="5"/>
        <v>13.748860415128695</v>
      </c>
      <c r="D85" s="57">
        <f t="shared" si="3"/>
        <v>3.3395749876187528</v>
      </c>
      <c r="E85" s="59" t="str">
        <f>IF(COUNTIF($D$6:D85,$D$6)&gt;1,"Do Not Copy","Copy")</f>
        <v>Copy</v>
      </c>
    </row>
    <row r="86" spans="1:5" x14ac:dyDescent="0.25">
      <c r="A86" s="14">
        <f t="shared" si="4"/>
        <v>0.27777777777777729</v>
      </c>
      <c r="B86" s="27">
        <f>INDEX('IDF Distributions'!$A$1:$AB$290,MATCH(Tool!$A86,'IDF Distributions'!$A$1:$A$290,0),MATCH(Tool!B$5,'IDF Distributions'!$A$1:$AB$1,0))*$I$6</f>
        <v>0.27829791563489448</v>
      </c>
      <c r="C86" s="24">
        <f t="shared" si="5"/>
        <v>14.027158330763589</v>
      </c>
      <c r="D86" s="57">
        <f t="shared" si="3"/>
        <v>3.3395749876187337</v>
      </c>
      <c r="E86" s="59" t="str">
        <f>IF(COUNTIF($D$6:D86,$D$6)&gt;1,"Do Not Copy","Copy")</f>
        <v>Copy</v>
      </c>
    </row>
    <row r="87" spans="1:5" x14ac:dyDescent="0.25">
      <c r="A87" s="14">
        <f t="shared" si="4"/>
        <v>0.2812499999999995</v>
      </c>
      <c r="B87" s="27">
        <f>INDEX('IDF Distributions'!$A$1:$AB$290,MATCH(Tool!$A87,'IDF Distributions'!$A$1:$A$290,0),MATCH(Tool!B$5,'IDF Distributions'!$A$1:$AB$1,0))*$I$6</f>
        <v>0.28584497775380924</v>
      </c>
      <c r="C87" s="24">
        <f t="shared" si="5"/>
        <v>14.313003308517398</v>
      </c>
      <c r="D87" s="57">
        <f t="shared" si="3"/>
        <v>3.4301397330457108</v>
      </c>
      <c r="E87" s="59" t="str">
        <f>IF(COUNTIF($D$6:D87,$D$6)&gt;1,"Do Not Copy","Copy")</f>
        <v>Copy</v>
      </c>
    </row>
    <row r="88" spans="1:5" x14ac:dyDescent="0.25">
      <c r="A88" s="14">
        <f t="shared" si="4"/>
        <v>0.28472222222222171</v>
      </c>
      <c r="B88" s="27">
        <f>INDEX('IDF Distributions'!$A$1:$AB$290,MATCH(Tool!$A88,'IDF Distributions'!$A$1:$A$290,0),MATCH(Tool!B$5,'IDF Distributions'!$A$1:$AB$1,0))*$I$6</f>
        <v>0.29622218816731111</v>
      </c>
      <c r="C88" s="24">
        <f t="shared" si="5"/>
        <v>14.60922549668471</v>
      </c>
      <c r="D88" s="57">
        <f t="shared" si="3"/>
        <v>3.5546662580077335</v>
      </c>
      <c r="E88" s="59" t="str">
        <f>IF(COUNTIF($D$6:D88,$D$6)&gt;1,"Do Not Copy","Copy")</f>
        <v>Copy</v>
      </c>
    </row>
    <row r="89" spans="1:5" x14ac:dyDescent="0.25">
      <c r="A89" s="14">
        <f t="shared" si="4"/>
        <v>0.28819444444444392</v>
      </c>
      <c r="B89" s="27">
        <f>INDEX('IDF Distributions'!$A$1:$AB$290,MATCH(Tool!$A89,'IDF Distributions'!$A$1:$A$290,0),MATCH(Tool!B$5,'IDF Distributions'!$A$1:$AB$1,0))*$I$6</f>
        <v>0.30754278134568158</v>
      </c>
      <c r="C89" s="24">
        <f t="shared" si="5"/>
        <v>14.916768278030391</v>
      </c>
      <c r="D89" s="57">
        <f t="shared" si="3"/>
        <v>3.690513376148179</v>
      </c>
      <c r="E89" s="59" t="str">
        <f>IF(COUNTIF($D$6:D89,$D$6)&gt;1,"Do Not Copy","Copy")</f>
        <v>Copy</v>
      </c>
    </row>
    <row r="90" spans="1:5" x14ac:dyDescent="0.25">
      <c r="A90" s="14">
        <f t="shared" si="4"/>
        <v>0.29166666666666613</v>
      </c>
      <c r="B90" s="27">
        <f>INDEX('IDF Distributions'!$A$1:$AB$290,MATCH(Tool!$A90,'IDF Distributions'!$A$1:$A$290,0),MATCH(Tool!B$5,'IDF Distributions'!$A$1:$AB$1,0))*$I$6</f>
        <v>0.32075014005377689</v>
      </c>
      <c r="C90" s="24">
        <f t="shared" si="5"/>
        <v>15.237518418084168</v>
      </c>
      <c r="D90" s="57">
        <f t="shared" si="3"/>
        <v>3.8490016806453227</v>
      </c>
      <c r="E90" s="59" t="str">
        <f>IF(COUNTIF($D$6:D90,$D$6)&gt;1,"Do Not Copy","Copy")</f>
        <v>Copy</v>
      </c>
    </row>
    <row r="91" spans="1:5" x14ac:dyDescent="0.25">
      <c r="A91" s="14">
        <f t="shared" si="4"/>
        <v>0.29513888888888834</v>
      </c>
      <c r="B91" s="27">
        <f>INDEX('IDF Distributions'!$A$1:$AB$290,MATCH(Tool!$A91,'IDF Distributions'!$A$1:$A$290,0),MATCH(Tool!B$5,'IDF Distributions'!$A$1:$AB$1,0))*$I$6</f>
        <v>0.33961779535105896</v>
      </c>
      <c r="C91" s="24">
        <f t="shared" si="5"/>
        <v>15.577136213435226</v>
      </c>
      <c r="D91" s="57">
        <f t="shared" si="3"/>
        <v>4.075413544212708</v>
      </c>
      <c r="E91" s="59" t="str">
        <f>IF(COUNTIF($D$6:D91,$D$6)&gt;1,"Do Not Copy","Copy")</f>
        <v>Copy</v>
      </c>
    </row>
    <row r="92" spans="1:5" x14ac:dyDescent="0.25">
      <c r="A92" s="14">
        <f t="shared" si="4"/>
        <v>0.29861111111111055</v>
      </c>
      <c r="B92" s="27">
        <f>INDEX('IDF Distributions'!$A$1:$AB$290,MATCH(Tool!$A92,'IDF Distributions'!$A$1:$A$290,0),MATCH(Tool!B$5,'IDF Distributions'!$A$1:$AB$1,0))*$I$6</f>
        <v>0.36320236447265769</v>
      </c>
      <c r="C92" s="24">
        <f t="shared" si="5"/>
        <v>15.940338577907884</v>
      </c>
      <c r="D92" s="57">
        <f t="shared" si="3"/>
        <v>4.3584283736718925</v>
      </c>
      <c r="E92" s="59" t="str">
        <f>IF(COUNTIF($D$6:D92,$D$6)&gt;1,"Do Not Copy","Copy")</f>
        <v>Copy</v>
      </c>
    </row>
    <row r="93" spans="1:5" x14ac:dyDescent="0.25">
      <c r="A93" s="14">
        <f t="shared" si="4"/>
        <v>0.30208333333333276</v>
      </c>
      <c r="B93" s="27">
        <f>INDEX('IDF Distributions'!$A$1:$AB$290,MATCH(Tool!$A93,'IDF Distributions'!$A$1:$A$290,0),MATCH(Tool!B$5,'IDF Distributions'!$A$1:$AB$1,0))*$I$6</f>
        <v>0.3858435508293987</v>
      </c>
      <c r="C93" s="24">
        <f t="shared" si="5"/>
        <v>16.326182128737283</v>
      </c>
      <c r="D93" s="57">
        <f t="shared" si="3"/>
        <v>4.6301226099527844</v>
      </c>
      <c r="E93" s="59" t="str">
        <f>IF(COUNTIF($D$6:D93,$D$6)&gt;1,"Do Not Copy","Copy")</f>
        <v>Copy</v>
      </c>
    </row>
    <row r="94" spans="1:5" x14ac:dyDescent="0.25">
      <c r="A94" s="14">
        <f t="shared" si="4"/>
        <v>0.30555555555555497</v>
      </c>
      <c r="B94" s="27">
        <f>INDEX('IDF Distributions'!$A$1:$AB$290,MATCH(Tool!$A94,'IDF Distributions'!$A$1:$A$290,0),MATCH(Tool!B$5,'IDF Distributions'!$A$1:$AB$1,0))*$I$6</f>
        <v>0.41131488548072848</v>
      </c>
      <c r="C94" s="24">
        <f t="shared" si="5"/>
        <v>16.737497014218011</v>
      </c>
      <c r="D94" s="57">
        <f t="shared" si="3"/>
        <v>4.9357786257687417</v>
      </c>
      <c r="E94" s="59" t="str">
        <f>IF(COUNTIF($D$6:D94,$D$6)&gt;1,"Do Not Copy","Copy")</f>
        <v>Copy</v>
      </c>
    </row>
    <row r="95" spans="1:5" x14ac:dyDescent="0.25">
      <c r="A95" s="14">
        <f t="shared" si="4"/>
        <v>0.30902777777777718</v>
      </c>
      <c r="B95" s="27">
        <f>INDEX('IDF Distributions'!$A$1:$AB$290,MATCH(Tool!$A95,'IDF Distributions'!$A$1:$A$290,0),MATCH(Tool!B$5,'IDF Distributions'!$A$1:$AB$1,0))*$I$6</f>
        <v>0.43961636842664686</v>
      </c>
      <c r="C95" s="24">
        <f t="shared" si="5"/>
        <v>17.177113382644659</v>
      </c>
      <c r="D95" s="57">
        <f t="shared" si="3"/>
        <v>5.2753964211197619</v>
      </c>
      <c r="E95" s="59" t="str">
        <f>IF(COUNTIF($D$6:D95,$D$6)&gt;1,"Do Not Copy","Copy")</f>
        <v>Copy</v>
      </c>
    </row>
    <row r="96" spans="1:5" x14ac:dyDescent="0.25">
      <c r="A96" s="14">
        <f t="shared" si="4"/>
        <v>0.31249999999999939</v>
      </c>
      <c r="B96" s="27">
        <f>INDEX('IDF Distributions'!$A$1:$AB$290,MATCH(Tool!$A96,'IDF Distributions'!$A$1:$A$290,0),MATCH(Tool!B$5,'IDF Distributions'!$A$1:$AB$1,0))*$I$6</f>
        <v>0.57168995550761537</v>
      </c>
      <c r="C96" s="24">
        <f t="shared" si="5"/>
        <v>17.748803338152275</v>
      </c>
      <c r="D96" s="57">
        <f t="shared" si="3"/>
        <v>6.8602794660913844</v>
      </c>
      <c r="E96" s="59" t="str">
        <f>IF(COUNTIF($D$6:D96,$D$6)&gt;1,"Do Not Copy","Copy")</f>
        <v>Copy</v>
      </c>
    </row>
    <row r="97" spans="1:5" x14ac:dyDescent="0.25">
      <c r="A97" s="14">
        <f t="shared" si="4"/>
        <v>0.3159722222222216</v>
      </c>
      <c r="B97" s="27">
        <f>INDEX('IDF Distributions'!$A$1:$AB$290,MATCH(Tool!$A97,'IDF Distributions'!$A$1:$A$290,0),MATCH(Tool!B$5,'IDF Distributions'!$A$1:$AB$1,0))*$I$6</f>
        <v>1.0094195584045342</v>
      </c>
      <c r="C97" s="24">
        <f t="shared" si="5"/>
        <v>18.758222896556809</v>
      </c>
      <c r="D97" s="57">
        <f t="shared" si="3"/>
        <v>12.11303470085441</v>
      </c>
      <c r="E97" s="59" t="str">
        <f>IF(COUNTIF($D$6:D97,$D$6)&gt;1,"Do Not Copy","Copy")</f>
        <v>Copy</v>
      </c>
    </row>
    <row r="98" spans="1:5" x14ac:dyDescent="0.25">
      <c r="A98" s="14">
        <f t="shared" si="4"/>
        <v>0.31944444444444381</v>
      </c>
      <c r="B98" s="27">
        <f>INDEX('IDF Distributions'!$A$1:$AB$290,MATCH(Tool!$A98,'IDF Distributions'!$A$1:$A$290,0),MATCH(Tool!B$5,'IDF Distributions'!$A$1:$AB$1,0))*$I$6</f>
        <v>1.0990409210666219</v>
      </c>
      <c r="C98" s="24">
        <f t="shared" si="5"/>
        <v>19.85726381762343</v>
      </c>
      <c r="D98" s="57">
        <f t="shared" si="3"/>
        <v>13.188491052799463</v>
      </c>
      <c r="E98" s="59" t="str">
        <f>IF(COUNTIF($D$6:D98,$D$6)&gt;1,"Do Not Copy","Copy")</f>
        <v>Copy</v>
      </c>
    </row>
    <row r="99" spans="1:5" x14ac:dyDescent="0.25">
      <c r="A99" s="14">
        <f t="shared" si="4"/>
        <v>0.32291666666666602</v>
      </c>
      <c r="B99" s="27">
        <f>INDEX('IDF Distributions'!$A$1:$AB$290,MATCH(Tool!$A99,'IDF Distributions'!$A$1:$A$290,0),MATCH(Tool!B$5,'IDF Distributions'!$A$1:$AB$1,0))*$I$6</f>
        <v>1.1292291695422714</v>
      </c>
      <c r="C99" s="24">
        <f t="shared" si="5"/>
        <v>20.9864929871657</v>
      </c>
      <c r="D99" s="57">
        <f t="shared" si="3"/>
        <v>13.550750034507256</v>
      </c>
      <c r="E99" s="59" t="str">
        <f>IF(COUNTIF($D$6:D99,$D$6)&gt;1,"Do Not Copy","Copy")</f>
        <v>Copy</v>
      </c>
    </row>
    <row r="100" spans="1:5" x14ac:dyDescent="0.25">
      <c r="A100" s="14">
        <f t="shared" si="4"/>
        <v>0.32638888888888823</v>
      </c>
      <c r="B100" s="27">
        <f>INDEX('IDF Distributions'!$A$1:$AB$290,MATCH(Tool!$A100,'IDF Distributions'!$A$1:$A$290,0),MATCH(Tool!B$5,'IDF Distributions'!$A$1:$AB$1,0))*$I$6</f>
        <v>1.1282857867774074</v>
      </c>
      <c r="C100" s="24">
        <f t="shared" si="5"/>
        <v>22.114778773943108</v>
      </c>
      <c r="D100" s="57">
        <f t="shared" si="3"/>
        <v>13.539429441328888</v>
      </c>
      <c r="E100" s="59" t="str">
        <f>IF(COUNTIF($D$6:D100,$D$6)&gt;1,"Do Not Copy","Copy")</f>
        <v>Copy</v>
      </c>
    </row>
    <row r="101" spans="1:5" x14ac:dyDescent="0.25">
      <c r="A101" s="14">
        <f t="shared" si="4"/>
        <v>0.32986111111111044</v>
      </c>
      <c r="B101" s="27">
        <f>INDEX('IDF Distributions'!$A$1:$AB$290,MATCH(Tool!$A101,'IDF Distributions'!$A$1:$A$290,0),MATCH(Tool!B$5,'IDF Distributions'!$A$1:$AB$1,0))*$I$6</f>
        <v>1.0962107727720269</v>
      </c>
      <c r="C101" s="24">
        <f t="shared" si="5"/>
        <v>23.210989546715133</v>
      </c>
      <c r="D101" s="57">
        <f t="shared" si="3"/>
        <v>13.154529273264323</v>
      </c>
      <c r="E101" s="59" t="str">
        <f>IF(COUNTIF($D$6:D101,$D$6)&gt;1,"Do Not Copy","Copy")</f>
        <v>Copy</v>
      </c>
    </row>
    <row r="102" spans="1:5" x14ac:dyDescent="0.25">
      <c r="A102" s="14">
        <f t="shared" si="4"/>
        <v>0.33333333333333265</v>
      </c>
      <c r="B102" s="27">
        <f>INDEX('IDF Distributions'!$A$1:$AB$290,MATCH(Tool!$A102,'IDF Distributions'!$A$1:$A$290,0),MATCH(Tool!B$5,'IDF Distributions'!$A$1:$AB$1,0))*$I$6</f>
        <v>0.98111807545861274</v>
      </c>
      <c r="C102" s="24">
        <f t="shared" si="5"/>
        <v>24.192107622173747</v>
      </c>
      <c r="D102" s="57">
        <f t="shared" si="3"/>
        <v>11.773416905503353</v>
      </c>
      <c r="E102" s="59" t="str">
        <f>IF(COUNTIF($D$6:D102,$D$6)&gt;1,"Do Not Copy","Copy")</f>
        <v>Copy</v>
      </c>
    </row>
    <row r="103" spans="1:5" x14ac:dyDescent="0.25">
      <c r="A103" s="14">
        <f t="shared" si="4"/>
        <v>0.33680555555555486</v>
      </c>
      <c r="B103" s="27">
        <f>INDEX('IDF Distributions'!$A$1:$AB$290,MATCH(Tool!$A103,'IDF Distributions'!$A$1:$A$290,0),MATCH(Tool!B$5,'IDF Distributions'!$A$1:$AB$1,0))*$I$6</f>
        <v>0.67923559070211792</v>
      </c>
      <c r="C103" s="24">
        <f t="shared" si="5"/>
        <v>24.871343212875864</v>
      </c>
      <c r="D103" s="57">
        <f t="shared" si="3"/>
        <v>8.1508270884254159</v>
      </c>
      <c r="E103" s="59" t="str">
        <f>IF(COUNTIF($D$6:D103,$D$6)&gt;1,"Do Not Copy","Copy")</f>
        <v>Copy</v>
      </c>
    </row>
    <row r="104" spans="1:5" x14ac:dyDescent="0.25">
      <c r="A104" s="14">
        <f t="shared" si="4"/>
        <v>0.34027777777777707</v>
      </c>
      <c r="B104" s="27">
        <f>INDEX('IDF Distributions'!$A$1:$AB$290,MATCH(Tool!$A104,'IDF Distributions'!$A$1:$A$290,0),MATCH(Tool!B$5,'IDF Distributions'!$A$1:$AB$1,0))*$I$6</f>
        <v>0.58018040039139085</v>
      </c>
      <c r="C104" s="24">
        <f t="shared" si="5"/>
        <v>25.451523613267256</v>
      </c>
      <c r="D104" s="57">
        <f t="shared" si="3"/>
        <v>6.9621648046966902</v>
      </c>
      <c r="E104" s="59" t="str">
        <f>IF(COUNTIF($D$6:D104,$D$6)&gt;1,"Do Not Copy","Copy")</f>
        <v>Copy</v>
      </c>
    </row>
    <row r="105" spans="1:5" x14ac:dyDescent="0.25">
      <c r="A105" s="14">
        <f t="shared" si="4"/>
        <v>0.34374999999999928</v>
      </c>
      <c r="B105" s="27">
        <f>INDEX('IDF Distributions'!$A$1:$AB$290,MATCH(Tool!$A105,'IDF Distributions'!$A$1:$A$290,0),MATCH(Tool!B$5,'IDF Distributions'!$A$1:$AB$1,0))*$I$6</f>
        <v>0.51603037238063609</v>
      </c>
      <c r="C105" s="24">
        <f t="shared" si="5"/>
        <v>25.967553985647893</v>
      </c>
      <c r="D105" s="57">
        <f t="shared" si="3"/>
        <v>6.1923644685676331</v>
      </c>
      <c r="E105" s="59" t="str">
        <f>IF(COUNTIF($D$6:D105,$D$6)&gt;1,"Do Not Copy","Copy")</f>
        <v>Copy</v>
      </c>
    </row>
    <row r="106" spans="1:5" x14ac:dyDescent="0.25">
      <c r="A106" s="14">
        <f t="shared" si="4"/>
        <v>0.34722222222222149</v>
      </c>
      <c r="B106" s="27">
        <f>INDEX('IDF Distributions'!$A$1:$AB$290,MATCH(Tool!$A106,'IDF Distributions'!$A$1:$A$290,0),MATCH(Tool!B$5,'IDF Distributions'!$A$1:$AB$1,0))*$I$6</f>
        <v>0.4632009375482487</v>
      </c>
      <c r="C106" s="24">
        <f t="shared" si="5"/>
        <v>26.43075492319614</v>
      </c>
      <c r="D106" s="57">
        <f t="shared" si="3"/>
        <v>5.5584112505789847</v>
      </c>
      <c r="E106" s="59" t="str">
        <f>IF(COUNTIF($D$6:D106,$D$6)&gt;1,"Do Not Copy","Copy")</f>
        <v>Copy</v>
      </c>
    </row>
    <row r="107" spans="1:5" x14ac:dyDescent="0.25">
      <c r="A107" s="14">
        <f t="shared" si="4"/>
        <v>0.3506944444444437</v>
      </c>
      <c r="B107" s="27">
        <f>INDEX('IDF Distributions'!$A$1:$AB$290,MATCH(Tool!$A107,'IDF Distributions'!$A$1:$A$290,0),MATCH(Tool!B$5,'IDF Distributions'!$A$1:$AB$1,0))*$I$6</f>
        <v>0.4216920958942319</v>
      </c>
      <c r="C107" s="24">
        <f t="shared" si="5"/>
        <v>26.852447019090373</v>
      </c>
      <c r="D107" s="57">
        <f t="shared" si="3"/>
        <v>5.060305150730783</v>
      </c>
      <c r="E107" s="59" t="str">
        <f>IF(COUNTIF($D$6:D107,$D$6)&gt;1,"Do Not Copy","Copy")</f>
        <v>Copy</v>
      </c>
    </row>
    <row r="108" spans="1:5" x14ac:dyDescent="0.25">
      <c r="A108" s="14">
        <f t="shared" si="4"/>
        <v>0.35416666666666591</v>
      </c>
      <c r="B108" s="27">
        <f>INDEX('IDF Distributions'!$A$1:$AB$290,MATCH(Tool!$A108,'IDF Distributions'!$A$1:$A$290,0),MATCH(Tool!B$5,'IDF Distributions'!$A$1:$AB$1,0))*$I$6</f>
        <v>0.40188105783208583</v>
      </c>
      <c r="C108" s="24">
        <f t="shared" si="5"/>
        <v>27.254328076922459</v>
      </c>
      <c r="D108" s="57">
        <f t="shared" si="3"/>
        <v>4.8225726939850304</v>
      </c>
      <c r="E108" s="59" t="str">
        <f>IF(COUNTIF($D$6:D108,$D$6)&gt;1,"Do Not Copy","Copy")</f>
        <v>Copy</v>
      </c>
    </row>
    <row r="109" spans="1:5" x14ac:dyDescent="0.25">
      <c r="A109" s="14">
        <f t="shared" si="4"/>
        <v>0.35763888888888812</v>
      </c>
      <c r="B109" s="27">
        <f>INDEX('IDF Distributions'!$A$1:$AB$290,MATCH(Tool!$A109,'IDF Distributions'!$A$1:$A$290,0),MATCH(Tool!B$5,'IDF Distributions'!$A$1:$AB$1,0))*$I$6</f>
        <v>0.42452224418882373</v>
      </c>
      <c r="C109" s="24">
        <f t="shared" si="5"/>
        <v>27.678850321111284</v>
      </c>
      <c r="D109" s="57">
        <f t="shared" si="3"/>
        <v>5.094266930265885</v>
      </c>
      <c r="E109" s="59" t="str">
        <f>IF(COUNTIF($D$6:D109,$D$6)&gt;1,"Do Not Copy","Copy")</f>
        <v>Copy</v>
      </c>
    </row>
    <row r="110" spans="1:5" x14ac:dyDescent="0.25">
      <c r="A110" s="14">
        <f t="shared" si="4"/>
        <v>0.36111111111111033</v>
      </c>
      <c r="B110" s="27">
        <f>INDEX('IDF Distributions'!$A$1:$AB$290,MATCH(Tool!$A110,'IDF Distributions'!$A$1:$A$290,0),MATCH(Tool!B$5,'IDF Distributions'!$A$1:$AB$1,0))*$I$6</f>
        <v>0.40093767506722189</v>
      </c>
      <c r="C110" s="24">
        <f t="shared" si="5"/>
        <v>28.079787996178506</v>
      </c>
      <c r="D110" s="57">
        <f t="shared" si="3"/>
        <v>4.8112521008066622</v>
      </c>
      <c r="E110" s="59" t="str">
        <f>IF(COUNTIF($D$6:D110,$D$6)&gt;1,"Do Not Copy","Copy")</f>
        <v>Copy</v>
      </c>
    </row>
    <row r="111" spans="1:5" x14ac:dyDescent="0.25">
      <c r="A111" s="14">
        <f t="shared" si="4"/>
        <v>0.36458333333333254</v>
      </c>
      <c r="B111" s="27">
        <f>INDEX('IDF Distributions'!$A$1:$AB$290,MATCH(Tool!$A111,'IDF Distributions'!$A$1:$A$290,0),MATCH(Tool!B$5,'IDF Distributions'!$A$1:$AB$1,0))*$I$6</f>
        <v>0.38207001976993665</v>
      </c>
      <c r="C111" s="24">
        <f t="shared" si="5"/>
        <v>28.461858015948444</v>
      </c>
      <c r="D111" s="57">
        <f t="shared" si="3"/>
        <v>4.5848402372392396</v>
      </c>
      <c r="E111" s="59" t="str">
        <f>IF(COUNTIF($D$6:D111,$D$6)&gt;1,"Do Not Copy","Copy")</f>
        <v>Copy</v>
      </c>
    </row>
    <row r="112" spans="1:5" x14ac:dyDescent="0.25">
      <c r="A112" s="14">
        <f t="shared" si="4"/>
        <v>0.36805555555555475</v>
      </c>
      <c r="B112" s="27">
        <f>INDEX('IDF Distributions'!$A$1:$AB$290,MATCH(Tool!$A112,'IDF Distributions'!$A$1:$A$290,0),MATCH(Tool!B$5,'IDF Distributions'!$A$1:$AB$1,0))*$I$6</f>
        <v>0.36320236447266396</v>
      </c>
      <c r="C112" s="24">
        <f t="shared" si="5"/>
        <v>28.825060380421107</v>
      </c>
      <c r="D112" s="57">
        <f t="shared" si="3"/>
        <v>4.358428373671968</v>
      </c>
      <c r="E112" s="59" t="str">
        <f>IF(COUNTIF($D$6:D112,$D$6)&gt;1,"Do Not Copy","Copy")</f>
        <v>Copy</v>
      </c>
    </row>
    <row r="113" spans="1:5" x14ac:dyDescent="0.25">
      <c r="A113" s="14">
        <f t="shared" si="4"/>
        <v>0.37152777777777696</v>
      </c>
      <c r="B113" s="27">
        <f>INDEX('IDF Distributions'!$A$1:$AB$290,MATCH(Tool!$A113,'IDF Distributions'!$A$1:$A$290,0),MATCH(Tool!B$5,'IDF Distributions'!$A$1:$AB$1,0))*$I$6</f>
        <v>0.34433470917537873</v>
      </c>
      <c r="C113" s="24">
        <f t="shared" si="5"/>
        <v>29.169395089596485</v>
      </c>
      <c r="D113" s="57">
        <f t="shared" si="3"/>
        <v>4.1320165101045445</v>
      </c>
      <c r="E113" s="59" t="str">
        <f>IF(COUNTIF($D$6:D113,$D$6)&gt;1,"Do Not Copy","Copy")</f>
        <v>Copy</v>
      </c>
    </row>
    <row r="114" spans="1:5" x14ac:dyDescent="0.25">
      <c r="A114" s="14">
        <f t="shared" si="4"/>
        <v>0.37499999999999917</v>
      </c>
      <c r="B114" s="27">
        <f>INDEX('IDF Distributions'!$A$1:$AB$290,MATCH(Tool!$A114,'IDF Distributions'!$A$1:$A$290,0),MATCH(Tool!B$5,'IDF Distributions'!$A$1:$AB$1,0))*$I$6</f>
        <v>0.32641043664296371</v>
      </c>
      <c r="C114" s="24">
        <f t="shared" si="5"/>
        <v>29.495805526239447</v>
      </c>
      <c r="D114" s="57">
        <f t="shared" si="3"/>
        <v>3.9169252397155647</v>
      </c>
      <c r="E114" s="59" t="str">
        <f>IF(COUNTIF($D$6:D114,$D$6)&gt;1,"Do Not Copy","Copy")</f>
        <v>Copy</v>
      </c>
    </row>
    <row r="115" spans="1:5" x14ac:dyDescent="0.25">
      <c r="A115" s="14">
        <f t="shared" si="4"/>
        <v>0.37847222222222138</v>
      </c>
      <c r="B115" s="27">
        <f>INDEX('IDF Distributions'!$A$1:$AB$290,MATCH(Tool!$A115,'IDF Distributions'!$A$1:$A$290,0),MATCH(Tool!B$5,'IDF Distributions'!$A$1:$AB$1,0))*$I$6</f>
        <v>0.31131631240513424</v>
      </c>
      <c r="C115" s="24">
        <f t="shared" si="5"/>
        <v>29.80712183864458</v>
      </c>
      <c r="D115" s="57">
        <f t="shared" si="3"/>
        <v>3.7357957488616109</v>
      </c>
      <c r="E115" s="59" t="str">
        <f>IF(COUNTIF($D$6:D115,$D$6)&gt;1,"Do Not Copy","Copy")</f>
        <v>Copy</v>
      </c>
    </row>
    <row r="116" spans="1:5" x14ac:dyDescent="0.25">
      <c r="A116" s="14">
        <f t="shared" si="4"/>
        <v>0.38194444444444359</v>
      </c>
      <c r="B116" s="27">
        <f>INDEX('IDF Distributions'!$A$1:$AB$290,MATCH(Tool!$A116,'IDF Distributions'!$A$1:$A$290,0),MATCH(Tool!B$5,'IDF Distributions'!$A$1:$AB$1,0))*$I$6</f>
        <v>0.29716557093218132</v>
      </c>
      <c r="C116" s="24">
        <f t="shared" si="5"/>
        <v>30.104287409576763</v>
      </c>
      <c r="D116" s="57">
        <f t="shared" si="3"/>
        <v>3.5659868511861759</v>
      </c>
      <c r="E116" s="59" t="str">
        <f>IF(COUNTIF($D$6:D116,$D$6)&gt;1,"Do Not Copy","Copy")</f>
        <v>Copy</v>
      </c>
    </row>
    <row r="117" spans="1:5" x14ac:dyDescent="0.25">
      <c r="A117" s="14">
        <f t="shared" si="4"/>
        <v>0.3854166666666658</v>
      </c>
      <c r="B117" s="27">
        <f>INDEX('IDF Distributions'!$A$1:$AB$290,MATCH(Tool!$A117,'IDF Distributions'!$A$1:$A$290,0),MATCH(Tool!B$5,'IDF Distributions'!$A$1:$AB$1,0))*$I$6</f>
        <v>0.28584497775380768</v>
      </c>
      <c r="C117" s="24">
        <f t="shared" si="5"/>
        <v>30.390132387330571</v>
      </c>
      <c r="D117" s="57">
        <f t="shared" si="3"/>
        <v>3.4301397330456922</v>
      </c>
      <c r="E117" s="59" t="str">
        <f>IF(COUNTIF($D$6:D117,$D$6)&gt;1,"Do Not Copy","Copy")</f>
        <v>Copy</v>
      </c>
    </row>
    <row r="118" spans="1:5" x14ac:dyDescent="0.25">
      <c r="A118" s="14">
        <f t="shared" si="4"/>
        <v>0.38888888888888801</v>
      </c>
      <c r="B118" s="27">
        <f>INDEX('IDF Distributions'!$A$1:$AB$290,MATCH(Tool!$A118,'IDF Distributions'!$A$1:$A$290,0),MATCH(Tool!B$5,'IDF Distributions'!$A$1:$AB$1,0))*$I$6</f>
        <v>0.27452438457543399</v>
      </c>
      <c r="C118" s="24">
        <f t="shared" si="5"/>
        <v>30.664656771906003</v>
      </c>
      <c r="D118" s="57">
        <f t="shared" si="3"/>
        <v>3.2942926149052081</v>
      </c>
      <c r="E118" s="59" t="str">
        <f>IF(COUNTIF($D$6:D118,$D$6)&gt;1,"Do Not Copy","Copy")</f>
        <v>Copy</v>
      </c>
    </row>
    <row r="119" spans="1:5" x14ac:dyDescent="0.25">
      <c r="A119" s="14">
        <f t="shared" si="4"/>
        <v>0.39236111111111022</v>
      </c>
      <c r="B119" s="27">
        <f>INDEX('IDF Distributions'!$A$1:$AB$290,MATCH(Tool!$A119,'IDF Distributions'!$A$1:$A$290,0),MATCH(Tool!B$5,'IDF Distributions'!$A$1:$AB$1,0))*$I$6</f>
        <v>0.26320379139707289</v>
      </c>
      <c r="C119" s="24">
        <f t="shared" si="5"/>
        <v>30.927860563303074</v>
      </c>
      <c r="D119" s="57">
        <f t="shared" si="3"/>
        <v>3.158445496764875</v>
      </c>
      <c r="E119" s="59" t="str">
        <f>IF(COUNTIF($D$6:D119,$D$6)&gt;1,"Do Not Copy","Copy")</f>
        <v>Copy</v>
      </c>
    </row>
    <row r="120" spans="1:5" x14ac:dyDescent="0.25">
      <c r="A120" s="14">
        <f t="shared" si="4"/>
        <v>0.39583333333333243</v>
      </c>
      <c r="B120" s="27">
        <f>INDEX('IDF Distributions'!$A$1:$AB$290,MATCH(Tool!$A120,'IDF Distributions'!$A$1:$A$290,0),MATCH(Tool!B$5,'IDF Distributions'!$A$1:$AB$1,0))*$I$6</f>
        <v>0.2566001120430253</v>
      </c>
      <c r="C120" s="24">
        <f t="shared" si="5"/>
        <v>31.184460675346099</v>
      </c>
      <c r="D120" s="57">
        <f t="shared" si="3"/>
        <v>3.0792013445163038</v>
      </c>
      <c r="E120" s="59" t="str">
        <f>IF(COUNTIF($D$6:D120,$D$6)&gt;1,"Do Not Copy","Copy")</f>
        <v>Copy</v>
      </c>
    </row>
    <row r="121" spans="1:5" x14ac:dyDescent="0.25">
      <c r="A121" s="14">
        <f t="shared" si="4"/>
        <v>0.39930555555555464</v>
      </c>
      <c r="B121" s="27">
        <f>INDEX('IDF Distributions'!$A$1:$AB$290,MATCH(Tool!$A121,'IDF Distributions'!$A$1:$A$290,0),MATCH(Tool!B$5,'IDF Distributions'!$A$1:$AB$1,0))*$I$6</f>
        <v>0.26414717416193056</v>
      </c>
      <c r="C121" s="24">
        <f t="shared" si="5"/>
        <v>31.448607849508029</v>
      </c>
      <c r="D121" s="57">
        <f t="shared" si="3"/>
        <v>3.1697660899431668</v>
      </c>
      <c r="E121" s="59" t="str">
        <f>IF(COUNTIF($D$6:D121,$D$6)&gt;1,"Do Not Copy","Copy")</f>
        <v>Copy</v>
      </c>
    </row>
    <row r="122" spans="1:5" x14ac:dyDescent="0.25">
      <c r="A122" s="14">
        <f t="shared" si="4"/>
        <v>0.40277777777777685</v>
      </c>
      <c r="B122" s="27">
        <f>INDEX('IDF Distributions'!$A$1:$AB$290,MATCH(Tool!$A122,'IDF Distributions'!$A$1:$A$290,0),MATCH(Tool!B$5,'IDF Distributions'!$A$1:$AB$1,0))*$I$6</f>
        <v>0.26414717416193684</v>
      </c>
      <c r="C122" s="24">
        <f t="shared" si="5"/>
        <v>31.712755023669967</v>
      </c>
      <c r="D122" s="57">
        <f t="shared" si="3"/>
        <v>3.1697660899432423</v>
      </c>
      <c r="E122" s="59" t="str">
        <f>IF(COUNTIF($D$6:D122,$D$6)&gt;1,"Do Not Copy","Copy")</f>
        <v>Copy</v>
      </c>
    </row>
    <row r="123" spans="1:5" x14ac:dyDescent="0.25">
      <c r="A123" s="14">
        <f t="shared" si="4"/>
        <v>0.40624999999999906</v>
      </c>
      <c r="B123" s="27">
        <f>INDEX('IDF Distributions'!$A$1:$AB$290,MATCH(Tool!$A123,'IDF Distributions'!$A$1:$A$290,0),MATCH(Tool!B$5,'IDF Distributions'!$A$1:$AB$1,0))*$I$6</f>
        <v>0.25660011204301897</v>
      </c>
      <c r="C123" s="24">
        <f t="shared" si="5"/>
        <v>31.969355135712984</v>
      </c>
      <c r="D123" s="57">
        <f t="shared" si="3"/>
        <v>3.0792013445162274</v>
      </c>
      <c r="E123" s="59" t="str">
        <f>IF(COUNTIF($D$6:D123,$D$6)&gt;1,"Do Not Copy","Copy")</f>
        <v>Copy</v>
      </c>
    </row>
    <row r="124" spans="1:5" x14ac:dyDescent="0.25">
      <c r="A124" s="14">
        <f t="shared" si="4"/>
        <v>0.40972222222222127</v>
      </c>
      <c r="B124" s="27">
        <f>INDEX('IDF Distributions'!$A$1:$AB$290,MATCH(Tool!$A124,'IDF Distributions'!$A$1:$A$290,0),MATCH(Tool!B$5,'IDF Distributions'!$A$1:$AB$1,0))*$I$6</f>
        <v>0.2490530499241074</v>
      </c>
      <c r="C124" s="24">
        <f t="shared" si="5"/>
        <v>32.218408185637088</v>
      </c>
      <c r="D124" s="57">
        <f t="shared" si="3"/>
        <v>2.9886365990892889</v>
      </c>
      <c r="E124" s="59" t="str">
        <f>IF(COUNTIF($D$6:D124,$D$6)&gt;1,"Do Not Copy","Copy")</f>
        <v>Copy</v>
      </c>
    </row>
    <row r="125" spans="1:5" x14ac:dyDescent="0.25">
      <c r="A125" s="14">
        <f t="shared" si="4"/>
        <v>0.41319444444444348</v>
      </c>
      <c r="B125" s="27">
        <f>INDEX('IDF Distributions'!$A$1:$AB$290,MATCH(Tool!$A125,'IDF Distributions'!$A$1:$A$290,0),MATCH(Tool!B$5,'IDF Distributions'!$A$1:$AB$1,0))*$I$6</f>
        <v>0.2452795188646579</v>
      </c>
      <c r="C125" s="24">
        <f t="shared" si="5"/>
        <v>32.463687704501744</v>
      </c>
      <c r="D125" s="57">
        <f t="shared" si="3"/>
        <v>2.9433542263758947</v>
      </c>
      <c r="E125" s="59" t="str">
        <f>IF(COUNTIF($D$6:D125,$D$6)&gt;1,"Do Not Copy","Copy")</f>
        <v>Copy</v>
      </c>
    </row>
    <row r="126" spans="1:5" x14ac:dyDescent="0.25">
      <c r="A126" s="14">
        <f t="shared" si="4"/>
        <v>0.41666666666666569</v>
      </c>
      <c r="B126" s="27">
        <f>INDEX('IDF Distributions'!$A$1:$AB$290,MATCH(Tool!$A126,'IDF Distributions'!$A$1:$A$290,0),MATCH(Tool!B$5,'IDF Distributions'!$A$1:$AB$1,0))*$I$6</f>
        <v>0.24339275333492372</v>
      </c>
      <c r="C126" s="24">
        <f t="shared" si="5"/>
        <v>32.707080457836668</v>
      </c>
      <c r="D126" s="57">
        <f t="shared" si="3"/>
        <v>2.9207130400190846</v>
      </c>
      <c r="E126" s="59" t="str">
        <f>IF(COUNTIF($D$6:D126,$D$6)&gt;1,"Do Not Copy","Copy")</f>
        <v>Copy</v>
      </c>
    </row>
    <row r="127" spans="1:5" x14ac:dyDescent="0.25">
      <c r="A127" s="14">
        <f t="shared" si="4"/>
        <v>0.4201388888888879</v>
      </c>
      <c r="B127" s="27">
        <f>INDEX('IDF Distributions'!$A$1:$AB$290,MATCH(Tool!$A127,'IDF Distributions'!$A$1:$A$290,0),MATCH(Tool!B$5,'IDF Distributions'!$A$1:$AB$1,0))*$I$6</f>
        <v>0.23584569121601212</v>
      </c>
      <c r="C127" s="24">
        <f t="shared" si="5"/>
        <v>32.942926149052681</v>
      </c>
      <c r="D127" s="57">
        <f t="shared" si="3"/>
        <v>2.8301482945921457</v>
      </c>
      <c r="E127" s="59" t="str">
        <f>IF(COUNTIF($D$6:D127,$D$6)&gt;1,"Do Not Copy","Copy")</f>
        <v>Copy</v>
      </c>
    </row>
    <row r="128" spans="1:5" x14ac:dyDescent="0.25">
      <c r="A128" s="14">
        <f t="shared" si="4"/>
        <v>0.42361111111111011</v>
      </c>
      <c r="B128" s="27">
        <f>INDEX('IDF Distributions'!$A$1:$AB$290,MATCH(Tool!$A128,'IDF Distributions'!$A$1:$A$290,0),MATCH(Tool!B$5,'IDF Distributions'!$A$1:$AB$1,0))*$I$6</f>
        <v>0.22641186356737264</v>
      </c>
      <c r="C128" s="24">
        <f t="shared" si="5"/>
        <v>33.169338012620052</v>
      </c>
      <c r="D128" s="57">
        <f t="shared" si="3"/>
        <v>2.7169423628084717</v>
      </c>
      <c r="E128" s="59" t="str">
        <f>IF(COUNTIF($D$6:D128,$D$6)&gt;1,"Do Not Copy","Copy")</f>
        <v>Copy</v>
      </c>
    </row>
    <row r="129" spans="1:5" x14ac:dyDescent="0.25">
      <c r="A129" s="14">
        <f t="shared" si="4"/>
        <v>0.42708333333333232</v>
      </c>
      <c r="B129" s="27">
        <f>INDEX('IDF Distributions'!$A$1:$AB$290,MATCH(Tool!$A129,'IDF Distributions'!$A$1:$A$290,0),MATCH(Tool!B$5,'IDF Distributions'!$A$1:$AB$1,0))*$I$6</f>
        <v>0.22641186356737264</v>
      </c>
      <c r="C129" s="24">
        <f t="shared" si="5"/>
        <v>33.395749876187423</v>
      </c>
      <c r="D129" s="57">
        <f t="shared" si="3"/>
        <v>2.7169423628084717</v>
      </c>
      <c r="E129" s="59" t="str">
        <f>IF(COUNTIF($D$6:D129,$D$6)&gt;1,"Do Not Copy","Copy")</f>
        <v>Copy</v>
      </c>
    </row>
    <row r="130" spans="1:5" x14ac:dyDescent="0.25">
      <c r="A130" s="14">
        <f t="shared" si="4"/>
        <v>0.43055555555555453</v>
      </c>
      <c r="B130" s="27">
        <f>INDEX('IDF Distributions'!$A$1:$AB$290,MATCH(Tool!$A130,'IDF Distributions'!$A$1:$A$290,0),MATCH(Tool!B$5,'IDF Distributions'!$A$1:$AB$1,0))*$I$6</f>
        <v>0.22641186356737894</v>
      </c>
      <c r="C130" s="24">
        <f t="shared" si="5"/>
        <v>33.622161739754802</v>
      </c>
      <c r="D130" s="57">
        <f t="shared" si="3"/>
        <v>2.7169423628085472</v>
      </c>
      <c r="E130" s="59" t="str">
        <f>IF(COUNTIF($D$6:D130,$D$6)&gt;1,"Do Not Copy","Copy")</f>
        <v>Copy</v>
      </c>
    </row>
    <row r="131" spans="1:5" x14ac:dyDescent="0.25">
      <c r="A131" s="14">
        <f t="shared" si="4"/>
        <v>0.43402777777777674</v>
      </c>
      <c r="B131" s="27">
        <f>INDEX('IDF Distributions'!$A$1:$AB$290,MATCH(Tool!$A131,'IDF Distributions'!$A$1:$A$290,0),MATCH(Tool!B$5,'IDF Distributions'!$A$1:$AB$1,0))*$I$6</f>
        <v>0.22263833250791057</v>
      </c>
      <c r="C131" s="24">
        <f t="shared" si="5"/>
        <v>33.844800072262714</v>
      </c>
      <c r="D131" s="57">
        <f t="shared" si="3"/>
        <v>2.6716599900949269</v>
      </c>
      <c r="E131" s="59" t="str">
        <f>IF(COUNTIF($D$6:D131,$D$6)&gt;1,"Do Not Copy","Copy")</f>
        <v>Copy</v>
      </c>
    </row>
    <row r="132" spans="1:5" x14ac:dyDescent="0.25">
      <c r="A132" s="14">
        <f t="shared" si="4"/>
        <v>0.43749999999999895</v>
      </c>
      <c r="B132" s="27">
        <f>INDEX('IDF Distributions'!$A$1:$AB$290,MATCH(Tool!$A132,'IDF Distributions'!$A$1:$A$290,0),MATCH(Tool!B$5,'IDF Distributions'!$A$1:$AB$1,0))*$I$6</f>
        <v>0.21886480144846107</v>
      </c>
      <c r="C132" s="24">
        <f t="shared" si="5"/>
        <v>34.063664873711176</v>
      </c>
      <c r="D132" s="57">
        <f t="shared" si="3"/>
        <v>2.6263776173815327</v>
      </c>
      <c r="E132" s="59" t="str">
        <f>IF(COUNTIF($D$6:D132,$D$6)&gt;1,"Do Not Copy","Copy")</f>
        <v>Copy</v>
      </c>
    </row>
    <row r="133" spans="1:5" x14ac:dyDescent="0.25">
      <c r="A133" s="14">
        <f t="shared" si="4"/>
        <v>0.44097222222222116</v>
      </c>
      <c r="B133" s="27">
        <f>INDEX('IDF Distributions'!$A$1:$AB$290,MATCH(Tool!$A133,'IDF Distributions'!$A$1:$A$290,0),MATCH(Tool!B$5,'IDF Distributions'!$A$1:$AB$1,0))*$I$6</f>
        <v>0.22641186356737264</v>
      </c>
      <c r="C133" s="24">
        <f t="shared" si="5"/>
        <v>34.290076737278547</v>
      </c>
      <c r="D133" s="57">
        <f t="shared" si="3"/>
        <v>2.7169423628084717</v>
      </c>
      <c r="E133" s="59" t="str">
        <f>IF(COUNTIF($D$6:D133,$D$6)&gt;1,"Do Not Copy","Copy")</f>
        <v>Copy</v>
      </c>
    </row>
    <row r="134" spans="1:5" x14ac:dyDescent="0.25">
      <c r="A134" s="14">
        <f t="shared" si="4"/>
        <v>0.44444444444444337</v>
      </c>
      <c r="B134" s="27">
        <f>INDEX('IDF Distributions'!$A$1:$AB$290,MATCH(Tool!$A134,'IDF Distributions'!$A$1:$A$290,0),MATCH(Tool!B$5,'IDF Distributions'!$A$1:$AB$1,0))*$I$6</f>
        <v>0.21697803591873316</v>
      </c>
      <c r="C134" s="24">
        <f t="shared" si="5"/>
        <v>34.507054773197282</v>
      </c>
      <c r="D134" s="57">
        <f t="shared" si="3"/>
        <v>2.6037364310247977</v>
      </c>
      <c r="E134" s="59" t="str">
        <f>IF(COUNTIF($D$6:D134,$D$6)&gt;1,"Do Not Copy","Copy")</f>
        <v>Copy</v>
      </c>
    </row>
    <row r="135" spans="1:5" x14ac:dyDescent="0.25">
      <c r="A135" s="14">
        <f t="shared" si="4"/>
        <v>0.44791666666666557</v>
      </c>
      <c r="B135" s="27">
        <f>INDEX('IDF Distributions'!$A$1:$AB$290,MATCH(Tool!$A135,'IDF Distributions'!$A$1:$A$290,0),MATCH(Tool!B$5,'IDF Distributions'!$A$1:$AB$1,0))*$I$6</f>
        <v>0.21697803591873316</v>
      </c>
      <c r="C135" s="24">
        <f t="shared" si="5"/>
        <v>34.724032809116018</v>
      </c>
      <c r="D135" s="57">
        <f t="shared" ref="D135:D198" si="6">B135*12</f>
        <v>2.6037364310247977</v>
      </c>
      <c r="E135" s="59" t="str">
        <f>IF(COUNTIF($D$6:D135,$D$6)&gt;1,"Do Not Copy","Copy")</f>
        <v>Copy</v>
      </c>
    </row>
    <row r="136" spans="1:5" x14ac:dyDescent="0.25">
      <c r="A136" s="14">
        <f t="shared" ref="A136:A199" si="7">A135+TIME(0,5,0)</f>
        <v>0.45138888888888778</v>
      </c>
      <c r="B136" s="27">
        <f>INDEX('IDF Distributions'!$A$1:$AB$290,MATCH(Tool!$A136,'IDF Distributions'!$A$1:$A$290,0),MATCH(Tool!B$5,'IDF Distributions'!$A$1:$AB$1,0))*$I$6</f>
        <v>0.21697803591872689</v>
      </c>
      <c r="C136" s="24">
        <f t="shared" ref="C136:C199" si="8">B136+C135</f>
        <v>34.941010845034747</v>
      </c>
      <c r="D136" s="57">
        <f t="shared" si="6"/>
        <v>2.6037364310247226</v>
      </c>
      <c r="E136" s="59" t="str">
        <f>IF(COUNTIF($D$6:D136,$D$6)&gt;1,"Do Not Copy","Copy")</f>
        <v>Copy</v>
      </c>
    </row>
    <row r="137" spans="1:5" x14ac:dyDescent="0.25">
      <c r="A137" s="14">
        <f t="shared" si="7"/>
        <v>0.45486111111110999</v>
      </c>
      <c r="B137" s="27">
        <f>INDEX('IDF Distributions'!$A$1:$AB$290,MATCH(Tool!$A137,'IDF Distributions'!$A$1:$A$290,0),MATCH(Tool!B$5,'IDF Distributions'!$A$1:$AB$1,0))*$I$6</f>
        <v>0.21320450485927739</v>
      </c>
      <c r="C137" s="24">
        <f t="shared" si="8"/>
        <v>35.154215349894024</v>
      </c>
      <c r="D137" s="57">
        <f t="shared" si="6"/>
        <v>2.5584540583113284</v>
      </c>
      <c r="E137" s="59" t="str">
        <f>IF(COUNTIF($D$6:D137,$D$6)&gt;1,"Do Not Copy","Copy")</f>
        <v>Copy</v>
      </c>
    </row>
    <row r="138" spans="1:5" x14ac:dyDescent="0.25">
      <c r="A138" s="14">
        <f t="shared" si="7"/>
        <v>0.4583333333333322</v>
      </c>
      <c r="B138" s="27">
        <f>INDEX('IDF Distributions'!$A$1:$AB$290,MATCH(Tool!$A138,'IDF Distributions'!$A$1:$A$290,0),MATCH(Tool!B$5,'IDF Distributions'!$A$1:$AB$1,0))*$I$6</f>
        <v>0.20754420827009371</v>
      </c>
      <c r="C138" s="24">
        <f t="shared" si="8"/>
        <v>35.361759558164117</v>
      </c>
      <c r="D138" s="57">
        <f t="shared" si="6"/>
        <v>2.4905304992411246</v>
      </c>
      <c r="E138" s="59" t="str">
        <f>IF(COUNTIF($D$6:D138,$D$6)&gt;1,"Do Not Copy","Copy")</f>
        <v>Copy</v>
      </c>
    </row>
    <row r="139" spans="1:5" x14ac:dyDescent="0.25">
      <c r="A139" s="14">
        <f t="shared" si="7"/>
        <v>0.46180555555555441</v>
      </c>
      <c r="B139" s="27">
        <f>INDEX('IDF Distributions'!$A$1:$AB$290,MATCH(Tool!$A139,'IDF Distributions'!$A$1:$A$290,0),MATCH(Tool!B$5,'IDF Distributions'!$A$1:$AB$1,0))*$I$6</f>
        <v>0.2075442082700874</v>
      </c>
      <c r="C139" s="24">
        <f t="shared" si="8"/>
        <v>35.569303766434203</v>
      </c>
      <c r="D139" s="57">
        <f t="shared" si="6"/>
        <v>2.4905304992410491</v>
      </c>
      <c r="E139" s="59" t="str">
        <f>IF(COUNTIF($D$6:D139,$D$6)&gt;1,"Do Not Copy","Copy")</f>
        <v>Copy</v>
      </c>
    </row>
    <row r="140" spans="1:5" x14ac:dyDescent="0.25">
      <c r="A140" s="14">
        <f t="shared" si="7"/>
        <v>0.46527777777777662</v>
      </c>
      <c r="B140" s="27">
        <f>INDEX('IDF Distributions'!$A$1:$AB$290,MATCH(Tool!$A140,'IDF Distributions'!$A$1:$A$290,0),MATCH(Tool!B$5,'IDF Distributions'!$A$1:$AB$1,0))*$I$6</f>
        <v>0.19811038062145422</v>
      </c>
      <c r="C140" s="24">
        <f t="shared" si="8"/>
        <v>35.767414147055661</v>
      </c>
      <c r="D140" s="57">
        <f t="shared" si="6"/>
        <v>2.3773245674574506</v>
      </c>
      <c r="E140" s="59" t="str">
        <f>IF(COUNTIF($D$6:D140,$D$6)&gt;1,"Do Not Copy","Copy")</f>
        <v>Copy</v>
      </c>
    </row>
    <row r="141" spans="1:5" x14ac:dyDescent="0.25">
      <c r="A141" s="14">
        <f t="shared" si="7"/>
        <v>0.46874999999999883</v>
      </c>
      <c r="B141" s="27">
        <f>INDEX('IDF Distributions'!$A$1:$AB$290,MATCH(Tool!$A141,'IDF Distributions'!$A$1:$A$290,0),MATCH(Tool!B$5,'IDF Distributions'!$A$1:$AB$1,0))*$I$6</f>
        <v>0.19811038062145422</v>
      </c>
      <c r="C141" s="24">
        <f t="shared" si="8"/>
        <v>35.965524527677118</v>
      </c>
      <c r="D141" s="57">
        <f t="shared" si="6"/>
        <v>2.3773245674574506</v>
      </c>
      <c r="E141" s="59" t="str">
        <f>IF(COUNTIF($D$6:D141,$D$6)&gt;1,"Do Not Copy","Copy")</f>
        <v>Copy</v>
      </c>
    </row>
    <row r="142" spans="1:5" x14ac:dyDescent="0.25">
      <c r="A142" s="14">
        <f t="shared" si="7"/>
        <v>0.47222222222222104</v>
      </c>
      <c r="B142" s="27">
        <f>INDEX('IDF Distributions'!$A$1:$AB$290,MATCH(Tool!$A142,'IDF Distributions'!$A$1:$A$290,0),MATCH(Tool!B$5,'IDF Distributions'!$A$1:$AB$1,0))*$I$6</f>
        <v>0.19811038062144792</v>
      </c>
      <c r="C142" s="24">
        <f t="shared" si="8"/>
        <v>36.163634908298569</v>
      </c>
      <c r="D142" s="57">
        <f t="shared" si="6"/>
        <v>2.3773245674573751</v>
      </c>
      <c r="E142" s="59" t="str">
        <f>IF(COUNTIF($D$6:D142,$D$6)&gt;1,"Do Not Copy","Copy")</f>
        <v>Copy</v>
      </c>
    </row>
    <row r="143" spans="1:5" x14ac:dyDescent="0.25">
      <c r="A143" s="14">
        <f t="shared" si="7"/>
        <v>0.47569444444444325</v>
      </c>
      <c r="B143" s="27">
        <f>INDEX('IDF Distributions'!$A$1:$AB$290,MATCH(Tool!$A143,'IDF Distributions'!$A$1:$A$290,0),MATCH(Tool!B$5,'IDF Distributions'!$A$1:$AB$1,0))*$I$6</f>
        <v>0.19433684956199213</v>
      </c>
      <c r="C143" s="24">
        <f t="shared" si="8"/>
        <v>36.357971757860561</v>
      </c>
      <c r="D143" s="57">
        <f t="shared" si="6"/>
        <v>2.3320421947439054</v>
      </c>
      <c r="E143" s="59" t="str">
        <f>IF(COUNTIF($D$6:D143,$D$6)&gt;1,"Do Not Copy","Copy")</f>
        <v>Copy</v>
      </c>
    </row>
    <row r="144" spans="1:5" x14ac:dyDescent="0.25">
      <c r="A144" s="14">
        <f t="shared" si="7"/>
        <v>0.47916666666666546</v>
      </c>
      <c r="B144" s="27">
        <f>INDEX('IDF Distributions'!$A$1:$AB$290,MATCH(Tool!$A144,'IDF Distributions'!$A$1:$A$290,0),MATCH(Tool!B$5,'IDF Distributions'!$A$1:$AB$1,0))*$I$6</f>
        <v>0.18773317020795077</v>
      </c>
      <c r="C144" s="24">
        <f t="shared" si="8"/>
        <v>36.54570492806851</v>
      </c>
      <c r="D144" s="57">
        <f t="shared" si="6"/>
        <v>2.2527980424954093</v>
      </c>
      <c r="E144" s="59" t="str">
        <f>IF(COUNTIF($D$6:D144,$D$6)&gt;1,"Do Not Copy","Copy")</f>
        <v>Copy</v>
      </c>
    </row>
    <row r="145" spans="1:5" x14ac:dyDescent="0.25">
      <c r="A145" s="14">
        <f t="shared" si="7"/>
        <v>0.48263888888888767</v>
      </c>
      <c r="B145" s="27">
        <f>INDEX('IDF Distributions'!$A$1:$AB$290,MATCH(Tool!$A145,'IDF Distributions'!$A$1:$A$290,0),MATCH(Tool!B$5,'IDF Distributions'!$A$1:$AB$1,0))*$I$6</f>
        <v>0.1839596391484887</v>
      </c>
      <c r="C145" s="24">
        <f t="shared" si="8"/>
        <v>36.729664567217</v>
      </c>
      <c r="D145" s="57">
        <f t="shared" si="6"/>
        <v>2.2075156697818645</v>
      </c>
      <c r="E145" s="59" t="str">
        <f>IF(COUNTIF($D$6:D145,$D$6)&gt;1,"Do Not Copy","Copy")</f>
        <v>Copy</v>
      </c>
    </row>
    <row r="146" spans="1:5" x14ac:dyDescent="0.25">
      <c r="A146" s="14">
        <f t="shared" si="7"/>
        <v>0.48611111111110988</v>
      </c>
      <c r="B146" s="27">
        <f>INDEX('IDF Distributions'!$A$1:$AB$290,MATCH(Tool!$A146,'IDF Distributions'!$A$1:$A$290,0),MATCH(Tool!B$5,'IDF Distributions'!$A$1:$AB$1,0))*$I$6</f>
        <v>0.17924272532416269</v>
      </c>
      <c r="C146" s="24">
        <f t="shared" si="8"/>
        <v>36.908907292541166</v>
      </c>
      <c r="D146" s="57">
        <f t="shared" si="6"/>
        <v>2.1509127038899525</v>
      </c>
      <c r="E146" s="59" t="str">
        <f>IF(COUNTIF($D$6:D146,$D$6)&gt;1,"Do Not Copy","Copy")</f>
        <v>Copy</v>
      </c>
    </row>
    <row r="147" spans="1:5" x14ac:dyDescent="0.25">
      <c r="A147" s="14">
        <f t="shared" si="7"/>
        <v>0.48958333333333209</v>
      </c>
      <c r="B147" s="27">
        <f>INDEX('IDF Distributions'!$A$1:$AB$290,MATCH(Tool!$A147,'IDF Distributions'!$A$1:$A$290,0),MATCH(Tool!B$5,'IDF Distributions'!$A$1:$AB$1,0))*$I$6</f>
        <v>0.17924272532417526</v>
      </c>
      <c r="C147" s="24">
        <f t="shared" si="8"/>
        <v>37.088150017865338</v>
      </c>
      <c r="D147" s="57">
        <f t="shared" si="6"/>
        <v>2.150912703890103</v>
      </c>
      <c r="E147" s="59" t="str">
        <f>IF(COUNTIF($D$6:D147,$D$6)&gt;1,"Do Not Copy","Copy")</f>
        <v>Copy</v>
      </c>
    </row>
    <row r="148" spans="1:5" x14ac:dyDescent="0.25">
      <c r="A148" s="14">
        <f t="shared" si="7"/>
        <v>0.4930555555555543</v>
      </c>
      <c r="B148" s="27">
        <f>INDEX('IDF Distributions'!$A$1:$AB$290,MATCH(Tool!$A148,'IDF Distributions'!$A$1:$A$290,0),MATCH(Tool!B$5,'IDF Distributions'!$A$1:$AB$1,0))*$I$6</f>
        <v>0.17924272532416896</v>
      </c>
      <c r="C148" s="24">
        <f t="shared" si="8"/>
        <v>37.267392743189504</v>
      </c>
      <c r="D148" s="57">
        <f t="shared" si="6"/>
        <v>2.1509127038900275</v>
      </c>
      <c r="E148" s="59" t="str">
        <f>IF(COUNTIF($D$6:D148,$D$6)&gt;1,"Do Not Copy","Copy")</f>
        <v>Copy</v>
      </c>
    </row>
    <row r="149" spans="1:5" x14ac:dyDescent="0.25">
      <c r="A149" s="14">
        <f t="shared" si="7"/>
        <v>0.49652777777777651</v>
      </c>
      <c r="B149" s="27">
        <f>INDEX('IDF Distributions'!$A$1:$AB$290,MATCH(Tool!$A149,'IDF Distributions'!$A$1:$A$290,0),MATCH(Tool!B$5,'IDF Distributions'!$A$1:$AB$1,0))*$I$6</f>
        <v>0.17735595979444108</v>
      </c>
      <c r="C149" s="24">
        <f t="shared" si="8"/>
        <v>37.444748702983944</v>
      </c>
      <c r="D149" s="57">
        <f t="shared" si="6"/>
        <v>2.1282715175332929</v>
      </c>
      <c r="E149" s="59" t="str">
        <f>IF(COUNTIF($D$6:D149,$D$6)&gt;1,"Do Not Copy","Copy")</f>
        <v>Copy</v>
      </c>
    </row>
    <row r="150" spans="1:5" x14ac:dyDescent="0.25">
      <c r="A150" s="14">
        <f t="shared" si="7"/>
        <v>0.49999999999999872</v>
      </c>
      <c r="B150" s="27">
        <f>INDEX('IDF Distributions'!$A$1:$AB$290,MATCH(Tool!$A150,'IDF Distributions'!$A$1:$A$290,0),MATCH(Tool!B$5,'IDF Distributions'!$A$1:$AB$1,0))*$I$6</f>
        <v>0.17452581149984922</v>
      </c>
      <c r="C150" s="24">
        <f t="shared" si="8"/>
        <v>37.619274514483791</v>
      </c>
      <c r="D150" s="57">
        <f t="shared" si="6"/>
        <v>2.0943097379981905</v>
      </c>
      <c r="E150" s="59" t="str">
        <f>IF(COUNTIF($D$6:D150,$D$6)&gt;1,"Do Not Copy","Copy")</f>
        <v>Copy</v>
      </c>
    </row>
    <row r="151" spans="1:5" x14ac:dyDescent="0.25">
      <c r="A151" s="14">
        <f t="shared" si="7"/>
        <v>0.50347222222222099</v>
      </c>
      <c r="B151" s="27">
        <f>INDEX('IDF Distributions'!$A$1:$AB$290,MATCH(Tool!$A151,'IDF Distributions'!$A$1:$A$290,0),MATCH(Tool!B$5,'IDF Distributions'!$A$1:$AB$1,0))*$I$6</f>
        <v>0.17452581149984922</v>
      </c>
      <c r="C151" s="24">
        <f t="shared" si="8"/>
        <v>37.793800325983639</v>
      </c>
      <c r="D151" s="57">
        <f t="shared" si="6"/>
        <v>2.0943097379981905</v>
      </c>
      <c r="E151" s="59" t="str">
        <f>IF(COUNTIF($D$6:D151,$D$6)&gt;1,"Do Not Copy","Copy")</f>
        <v>Copy</v>
      </c>
    </row>
    <row r="152" spans="1:5" x14ac:dyDescent="0.25">
      <c r="A152" s="14">
        <f t="shared" si="7"/>
        <v>0.5069444444444432</v>
      </c>
      <c r="B152" s="27">
        <f>INDEX('IDF Distributions'!$A$1:$AB$290,MATCH(Tool!$A152,'IDF Distributions'!$A$1:$A$290,0),MATCH(Tool!B$5,'IDF Distributions'!$A$1:$AB$1,0))*$I$6</f>
        <v>0.17924272532416896</v>
      </c>
      <c r="C152" s="24">
        <f t="shared" si="8"/>
        <v>37.973043051307805</v>
      </c>
      <c r="D152" s="57">
        <f t="shared" si="6"/>
        <v>2.1509127038900275</v>
      </c>
      <c r="E152" s="59" t="str">
        <f>IF(COUNTIF($D$6:D152,$D$6)&gt;1,"Do Not Copy","Copy")</f>
        <v>Copy</v>
      </c>
    </row>
    <row r="153" spans="1:5" x14ac:dyDescent="0.25">
      <c r="A153" s="14">
        <f t="shared" si="7"/>
        <v>0.51041666666666541</v>
      </c>
      <c r="B153" s="27">
        <f>INDEX('IDF Distributions'!$A$1:$AB$290,MATCH(Tool!$A153,'IDF Distributions'!$A$1:$A$290,0),MATCH(Tool!B$5,'IDF Distributions'!$A$1:$AB$1,0))*$I$6</f>
        <v>0.17924272532417526</v>
      </c>
      <c r="C153" s="24">
        <f t="shared" si="8"/>
        <v>38.152285776631977</v>
      </c>
      <c r="D153" s="57">
        <f t="shared" si="6"/>
        <v>2.150912703890103</v>
      </c>
      <c r="E153" s="59" t="str">
        <f>IF(COUNTIF($D$6:D153,$D$6)&gt;1,"Do Not Copy","Copy")</f>
        <v>Copy</v>
      </c>
    </row>
    <row r="154" spans="1:5" x14ac:dyDescent="0.25">
      <c r="A154" s="14">
        <f t="shared" si="7"/>
        <v>0.51388888888888762</v>
      </c>
      <c r="B154" s="27">
        <f>INDEX('IDF Distributions'!$A$1:$AB$290,MATCH(Tool!$A154,'IDF Distributions'!$A$1:$A$290,0),MATCH(Tool!B$5,'IDF Distributions'!$A$1:$AB$1,0))*$I$6</f>
        <v>0.17924272532416896</v>
      </c>
      <c r="C154" s="24">
        <f t="shared" si="8"/>
        <v>38.331528501956143</v>
      </c>
      <c r="D154" s="57">
        <f t="shared" si="6"/>
        <v>2.1509127038900275</v>
      </c>
      <c r="E154" s="59" t="str">
        <f>IF(COUNTIF($D$6:D154,$D$6)&gt;1,"Do Not Copy","Copy")</f>
        <v>Copy</v>
      </c>
    </row>
    <row r="155" spans="1:5" x14ac:dyDescent="0.25">
      <c r="A155" s="14">
        <f t="shared" si="7"/>
        <v>0.51736111111110983</v>
      </c>
      <c r="B155" s="27">
        <f>INDEX('IDF Distributions'!$A$1:$AB$290,MATCH(Tool!$A155,'IDF Distributions'!$A$1:$A$290,0),MATCH(Tool!B$5,'IDF Distributions'!$A$1:$AB$1,0))*$I$6</f>
        <v>0.18112949085389687</v>
      </c>
      <c r="C155" s="24">
        <f t="shared" si="8"/>
        <v>38.512657992810041</v>
      </c>
      <c r="D155" s="57">
        <f t="shared" si="6"/>
        <v>2.1735538902467626</v>
      </c>
      <c r="E155" s="59" t="str">
        <f>IF(COUNTIF($D$6:D155,$D$6)&gt;1,"Do Not Copy","Copy")</f>
        <v>Copy</v>
      </c>
    </row>
    <row r="156" spans="1:5" x14ac:dyDescent="0.25">
      <c r="A156" s="14">
        <f t="shared" si="7"/>
        <v>0.52083333333333204</v>
      </c>
      <c r="B156" s="27">
        <f>INDEX('IDF Distributions'!$A$1:$AB$290,MATCH(Tool!$A156,'IDF Distributions'!$A$1:$A$290,0),MATCH(Tool!B$5,'IDF Distributions'!$A$1:$AB$1,0))*$I$6</f>
        <v>0.18112949085389687</v>
      </c>
      <c r="C156" s="24">
        <f t="shared" si="8"/>
        <v>38.693787483663939</v>
      </c>
      <c r="D156" s="57">
        <f t="shared" si="6"/>
        <v>2.1735538902467626</v>
      </c>
      <c r="E156" s="59" t="str">
        <f>IF(COUNTIF($D$6:D156,$D$6)&gt;1,"Do Not Copy","Copy")</f>
        <v>Copy</v>
      </c>
    </row>
    <row r="157" spans="1:5" x14ac:dyDescent="0.25">
      <c r="A157" s="14">
        <f t="shared" si="7"/>
        <v>0.52430555555555425</v>
      </c>
      <c r="B157" s="27">
        <f>INDEX('IDF Distributions'!$A$1:$AB$290,MATCH(Tool!$A157,'IDF Distributions'!$A$1:$A$290,0),MATCH(Tool!B$5,'IDF Distributions'!$A$1:$AB$1,0))*$I$6</f>
        <v>0.16980889767552948</v>
      </c>
      <c r="C157" s="24">
        <f t="shared" si="8"/>
        <v>38.86359638133947</v>
      </c>
      <c r="D157" s="57">
        <f t="shared" si="6"/>
        <v>2.037706772106354</v>
      </c>
      <c r="E157" s="59" t="str">
        <f>IF(COUNTIF($D$6:D157,$D$6)&gt;1,"Do Not Copy","Copy")</f>
        <v>Copy</v>
      </c>
    </row>
    <row r="158" spans="1:5" x14ac:dyDescent="0.25">
      <c r="A158" s="14">
        <f t="shared" si="7"/>
        <v>0.52777777777777646</v>
      </c>
      <c r="B158" s="27">
        <f>INDEX('IDF Distributions'!$A$1:$AB$290,MATCH(Tool!$A158,'IDF Distributions'!$A$1:$A$290,0),MATCH(Tool!B$5,'IDF Distributions'!$A$1:$AB$1,0))*$I$6</f>
        <v>0.17452581149984922</v>
      </c>
      <c r="C158" s="24">
        <f t="shared" si="8"/>
        <v>39.038122192839317</v>
      </c>
      <c r="D158" s="57">
        <f t="shared" si="6"/>
        <v>2.0943097379981905</v>
      </c>
      <c r="E158" s="59" t="str">
        <f>IF(COUNTIF($D$6:D158,$D$6)&gt;1,"Do Not Copy","Copy")</f>
        <v>Copy</v>
      </c>
    </row>
    <row r="159" spans="1:5" x14ac:dyDescent="0.25">
      <c r="A159" s="14">
        <f t="shared" si="7"/>
        <v>0.53124999999999867</v>
      </c>
      <c r="B159" s="27">
        <f>INDEX('IDF Distributions'!$A$1:$AB$290,MATCH(Tool!$A159,'IDF Distributions'!$A$1:$A$290,0),MATCH(Tool!B$5,'IDF Distributions'!$A$1:$AB$1,0))*$I$6</f>
        <v>0.17075228044039342</v>
      </c>
      <c r="C159" s="24">
        <f t="shared" si="8"/>
        <v>39.208874473279714</v>
      </c>
      <c r="D159" s="57">
        <f t="shared" si="6"/>
        <v>2.0490273652847213</v>
      </c>
      <c r="E159" s="59" t="str">
        <f>IF(COUNTIF($D$6:D159,$D$6)&gt;1,"Do Not Copy","Copy")</f>
        <v>Copy</v>
      </c>
    </row>
    <row r="160" spans="1:5" x14ac:dyDescent="0.25">
      <c r="A160" s="14">
        <f t="shared" si="7"/>
        <v>0.53472222222222088</v>
      </c>
      <c r="B160" s="27">
        <f>INDEX('IDF Distributions'!$A$1:$AB$290,MATCH(Tool!$A160,'IDF Distributions'!$A$1:$A$290,0),MATCH(Tool!B$5,'IDF Distributions'!$A$1:$AB$1,0))*$I$6</f>
        <v>0.16697874938093765</v>
      </c>
      <c r="C160" s="24">
        <f t="shared" si="8"/>
        <v>39.375853222660652</v>
      </c>
      <c r="D160" s="57">
        <f t="shared" si="6"/>
        <v>2.003744992571252</v>
      </c>
      <c r="E160" s="59" t="str">
        <f>IF(COUNTIF($D$6:D160,$D$6)&gt;1,"Do Not Copy","Copy")</f>
        <v>Copy</v>
      </c>
    </row>
    <row r="161" spans="1:5" x14ac:dyDescent="0.25">
      <c r="A161" s="14">
        <f t="shared" si="7"/>
        <v>0.53819444444444309</v>
      </c>
      <c r="B161" s="27">
        <f>INDEX('IDF Distributions'!$A$1:$AB$290,MATCH(Tool!$A161,'IDF Distributions'!$A$1:$A$290,0),MATCH(Tool!B$5,'IDF Distributions'!$A$1:$AB$1,0))*$I$6</f>
        <v>0.16697874938093765</v>
      </c>
      <c r="C161" s="24">
        <f t="shared" si="8"/>
        <v>39.54283197204159</v>
      </c>
      <c r="D161" s="57">
        <f t="shared" si="6"/>
        <v>2.003744992571252</v>
      </c>
      <c r="E161" s="59" t="str">
        <f>IF(COUNTIF($D$6:D161,$D$6)&gt;1,"Do Not Copy","Copy")</f>
        <v>Copy</v>
      </c>
    </row>
    <row r="162" spans="1:5" x14ac:dyDescent="0.25">
      <c r="A162" s="14">
        <f t="shared" si="7"/>
        <v>0.5416666666666653</v>
      </c>
      <c r="B162" s="27">
        <f>INDEX('IDF Distributions'!$A$1:$AB$290,MATCH(Tool!$A162,'IDF Distributions'!$A$1:$A$290,0),MATCH(Tool!B$5,'IDF Distributions'!$A$1:$AB$1,0))*$I$6</f>
        <v>0.17075228044039342</v>
      </c>
      <c r="C162" s="24">
        <f t="shared" si="8"/>
        <v>39.713584252481986</v>
      </c>
      <c r="D162" s="57">
        <f t="shared" si="6"/>
        <v>2.0490273652847213</v>
      </c>
      <c r="E162" s="59" t="str">
        <f>IF(COUNTIF($D$6:D162,$D$6)&gt;1,"Do Not Copy","Copy")</f>
        <v>Copy</v>
      </c>
    </row>
    <row r="163" spans="1:5" x14ac:dyDescent="0.25">
      <c r="A163" s="14">
        <f t="shared" si="7"/>
        <v>0.54513888888888751</v>
      </c>
      <c r="B163" s="27">
        <f>INDEX('IDF Distributions'!$A$1:$AB$290,MATCH(Tool!$A163,'IDF Distributions'!$A$1:$A$290,0),MATCH(Tool!B$5,'IDF Distributions'!$A$1:$AB$1,0))*$I$6</f>
        <v>0.17452581149984922</v>
      </c>
      <c r="C163" s="24">
        <f t="shared" si="8"/>
        <v>39.888110063981834</v>
      </c>
      <c r="D163" s="57">
        <f t="shared" si="6"/>
        <v>2.0943097379981905</v>
      </c>
      <c r="E163" s="59" t="str">
        <f>IF(COUNTIF($D$6:D163,$D$6)&gt;1,"Do Not Copy","Copy")</f>
        <v>Copy</v>
      </c>
    </row>
    <row r="164" spans="1:5" x14ac:dyDescent="0.25">
      <c r="A164" s="14">
        <f t="shared" si="7"/>
        <v>0.54861111111110972</v>
      </c>
      <c r="B164" s="27">
        <f>INDEX('IDF Distributions'!$A$1:$AB$290,MATCH(Tool!$A164,'IDF Distributions'!$A$1:$A$290,0),MATCH(Tool!B$5,'IDF Distributions'!$A$1:$AB$1,0))*$I$6</f>
        <v>0.17452581149984922</v>
      </c>
      <c r="C164" s="24">
        <f t="shared" si="8"/>
        <v>40.062635875481682</v>
      </c>
      <c r="D164" s="57">
        <f t="shared" si="6"/>
        <v>2.0943097379981905</v>
      </c>
      <c r="E164" s="59" t="str">
        <f>IF(COUNTIF($D$6:D164,$D$6)&gt;1,"Do Not Copy","Copy")</f>
        <v>Copy</v>
      </c>
    </row>
    <row r="165" spans="1:5" x14ac:dyDescent="0.25">
      <c r="A165" s="14">
        <f t="shared" si="7"/>
        <v>0.55208333333333193</v>
      </c>
      <c r="B165" s="27">
        <f>INDEX('IDF Distributions'!$A$1:$AB$290,MATCH(Tool!$A165,'IDF Distributions'!$A$1:$A$290,0),MATCH(Tool!B$5,'IDF Distributions'!$A$1:$AB$1,0))*$I$6</f>
        <v>0.17075228044039342</v>
      </c>
      <c r="C165" s="24">
        <f t="shared" si="8"/>
        <v>40.233388155922079</v>
      </c>
      <c r="D165" s="57">
        <f t="shared" si="6"/>
        <v>2.0490273652847213</v>
      </c>
      <c r="E165" s="59" t="str">
        <f>IF(COUNTIF($D$6:D165,$D$6)&gt;1,"Do Not Copy","Copy")</f>
        <v>Copy</v>
      </c>
    </row>
    <row r="166" spans="1:5" x14ac:dyDescent="0.25">
      <c r="A166" s="14">
        <f t="shared" si="7"/>
        <v>0.55555555555555414</v>
      </c>
      <c r="B166" s="27">
        <f>INDEX('IDF Distributions'!$A$1:$AB$290,MATCH(Tool!$A166,'IDF Distributions'!$A$1:$A$290,0),MATCH(Tool!B$5,'IDF Distributions'!$A$1:$AB$1,0))*$I$6</f>
        <v>0.16697874938093765</v>
      </c>
      <c r="C166" s="24">
        <f t="shared" si="8"/>
        <v>40.400366905303017</v>
      </c>
      <c r="D166" s="57">
        <f t="shared" si="6"/>
        <v>2.003744992571252</v>
      </c>
      <c r="E166" s="59" t="str">
        <f>IF(COUNTIF($D$6:D166,$D$6)&gt;1,"Do Not Copy","Copy")</f>
        <v>Copy</v>
      </c>
    </row>
    <row r="167" spans="1:5" x14ac:dyDescent="0.25">
      <c r="A167" s="14">
        <f t="shared" si="7"/>
        <v>0.55902777777777635</v>
      </c>
      <c r="B167" s="27">
        <f>INDEX('IDF Distributions'!$A$1:$AB$290,MATCH(Tool!$A167,'IDF Distributions'!$A$1:$A$290,0),MATCH(Tool!B$5,'IDF Distributions'!$A$1:$AB$1,0))*$I$6</f>
        <v>0.16509198385120974</v>
      </c>
      <c r="C167" s="24">
        <f t="shared" si="8"/>
        <v>40.565458889154229</v>
      </c>
      <c r="D167" s="57">
        <f t="shared" si="6"/>
        <v>1.981103806214517</v>
      </c>
      <c r="E167" s="59" t="str">
        <f>IF(COUNTIF($D$6:D167,$D$6)&gt;1,"Do Not Copy","Copy")</f>
        <v>Copy</v>
      </c>
    </row>
    <row r="168" spans="1:5" x14ac:dyDescent="0.25">
      <c r="A168" s="14">
        <f t="shared" si="7"/>
        <v>0.56249999999999856</v>
      </c>
      <c r="B168" s="27">
        <f>INDEX('IDF Distributions'!$A$1:$AB$290,MATCH(Tool!$A168,'IDF Distributions'!$A$1:$A$290,0),MATCH(Tool!B$5,'IDF Distributions'!$A$1:$AB$1,0))*$I$6</f>
        <v>0.16509198385120974</v>
      </c>
      <c r="C168" s="24">
        <f t="shared" si="8"/>
        <v>40.730550873005441</v>
      </c>
      <c r="D168" s="57">
        <f t="shared" si="6"/>
        <v>1.981103806214517</v>
      </c>
      <c r="E168" s="59" t="str">
        <f>IF(COUNTIF($D$6:D168,$D$6)&gt;1,"Do Not Copy","Copy")</f>
        <v>Copy</v>
      </c>
    </row>
    <row r="169" spans="1:5" x14ac:dyDescent="0.25">
      <c r="A169" s="14">
        <f t="shared" si="7"/>
        <v>0.56597222222222077</v>
      </c>
      <c r="B169" s="27">
        <f>INDEX('IDF Distributions'!$A$1:$AB$290,MATCH(Tool!$A169,'IDF Distributions'!$A$1:$A$290,0),MATCH(Tool!B$5,'IDF Distributions'!$A$1:$AB$1,0))*$I$6</f>
        <v>0.16509198385120974</v>
      </c>
      <c r="C169" s="24">
        <f t="shared" si="8"/>
        <v>40.895642856856654</v>
      </c>
      <c r="D169" s="57">
        <f t="shared" si="6"/>
        <v>1.981103806214517</v>
      </c>
      <c r="E169" s="59" t="str">
        <f>IF(COUNTIF($D$6:D169,$D$6)&gt;1,"Do Not Copy","Copy")</f>
        <v>Copy</v>
      </c>
    </row>
    <row r="170" spans="1:5" x14ac:dyDescent="0.25">
      <c r="A170" s="14">
        <f t="shared" si="7"/>
        <v>0.56944444444444298</v>
      </c>
      <c r="B170" s="27">
        <f>INDEX('IDF Distributions'!$A$1:$AB$290,MATCH(Tool!$A170,'IDF Distributions'!$A$1:$A$290,0),MATCH(Tool!B$5,'IDF Distributions'!$A$1:$AB$1,0))*$I$6</f>
        <v>0.16037507002689</v>
      </c>
      <c r="C170" s="24">
        <f t="shared" si="8"/>
        <v>41.056017926883541</v>
      </c>
      <c r="D170" s="57">
        <f t="shared" si="6"/>
        <v>1.92450084032268</v>
      </c>
      <c r="E170" s="59" t="str">
        <f>IF(COUNTIF($D$6:D170,$D$6)&gt;1,"Do Not Copy","Copy")</f>
        <v>Copy</v>
      </c>
    </row>
    <row r="171" spans="1:5" x14ac:dyDescent="0.25">
      <c r="A171" s="14">
        <f t="shared" si="7"/>
        <v>0.57291666666666519</v>
      </c>
      <c r="B171" s="27">
        <f>INDEX('IDF Distributions'!$A$1:$AB$290,MATCH(Tool!$A171,'IDF Distributions'!$A$1:$A$290,0),MATCH(Tool!B$5,'IDF Distributions'!$A$1:$AB$1,0))*$I$6</f>
        <v>0.16037507002688373</v>
      </c>
      <c r="C171" s="24">
        <f t="shared" si="8"/>
        <v>41.216392996910422</v>
      </c>
      <c r="D171" s="57">
        <f t="shared" si="6"/>
        <v>1.9245008403226047</v>
      </c>
      <c r="E171" s="59" t="str">
        <f>IF(COUNTIF($D$6:D171,$D$6)&gt;1,"Do Not Copy","Copy")</f>
        <v>Copy</v>
      </c>
    </row>
    <row r="172" spans="1:5" x14ac:dyDescent="0.25">
      <c r="A172" s="14">
        <f t="shared" si="7"/>
        <v>0.5763888888888874</v>
      </c>
      <c r="B172" s="27">
        <f>INDEX('IDF Distributions'!$A$1:$AB$290,MATCH(Tool!$A172,'IDF Distributions'!$A$1:$A$290,0),MATCH(Tool!B$5,'IDF Distributions'!$A$1:$AB$1,0))*$I$6</f>
        <v>0.15754492173229817</v>
      </c>
      <c r="C172" s="24">
        <f t="shared" si="8"/>
        <v>41.373937918642717</v>
      </c>
      <c r="D172" s="57">
        <f t="shared" si="6"/>
        <v>1.8905390607875781</v>
      </c>
      <c r="E172" s="59" t="str">
        <f>IF(COUNTIF($D$6:D172,$D$6)&gt;1,"Do Not Copy","Copy")</f>
        <v>Copy</v>
      </c>
    </row>
    <row r="173" spans="1:5" x14ac:dyDescent="0.25">
      <c r="A173" s="14">
        <f t="shared" si="7"/>
        <v>0.57986111111110961</v>
      </c>
      <c r="B173" s="27">
        <f>INDEX('IDF Distributions'!$A$1:$AB$290,MATCH(Tool!$A173,'IDF Distributions'!$A$1:$A$290,0),MATCH(Tool!B$5,'IDF Distributions'!$A$1:$AB$1,0))*$I$6</f>
        <v>0.15754492173229817</v>
      </c>
      <c r="C173" s="24">
        <f t="shared" si="8"/>
        <v>41.531482840375013</v>
      </c>
      <c r="D173" s="57">
        <f t="shared" si="6"/>
        <v>1.8905390607875781</v>
      </c>
      <c r="E173" s="59" t="str">
        <f>IF(COUNTIF($D$6:D173,$D$6)&gt;1,"Do Not Copy","Copy")</f>
        <v>Copy</v>
      </c>
    </row>
    <row r="174" spans="1:5" x14ac:dyDescent="0.25">
      <c r="A174" s="14">
        <f t="shared" si="7"/>
        <v>0.58333333333333182</v>
      </c>
      <c r="B174" s="27">
        <f>INDEX('IDF Distributions'!$A$1:$AB$290,MATCH(Tool!$A174,'IDF Distributions'!$A$1:$A$290,0),MATCH(Tool!B$5,'IDF Distributions'!$A$1:$AB$1,0))*$I$6</f>
        <v>0.16037507002688373</v>
      </c>
      <c r="C174" s="24">
        <f t="shared" si="8"/>
        <v>41.691857910401893</v>
      </c>
      <c r="D174" s="57">
        <f t="shared" si="6"/>
        <v>1.9245008403226047</v>
      </c>
      <c r="E174" s="59" t="str">
        <f>IF(COUNTIF($D$6:D174,$D$6)&gt;1,"Do Not Copy","Copy")</f>
        <v>Copy</v>
      </c>
    </row>
    <row r="175" spans="1:5" x14ac:dyDescent="0.25">
      <c r="A175" s="14">
        <f t="shared" si="7"/>
        <v>0.58680555555555403</v>
      </c>
      <c r="B175" s="27">
        <f>INDEX('IDF Distributions'!$A$1:$AB$290,MATCH(Tool!$A175,'IDF Distributions'!$A$1:$A$290,0),MATCH(Tool!B$5,'IDF Distributions'!$A$1:$AB$1,0))*$I$6</f>
        <v>0.16037507002689</v>
      </c>
      <c r="C175" s="24">
        <f t="shared" si="8"/>
        <v>41.852232980428781</v>
      </c>
      <c r="D175" s="57">
        <f t="shared" si="6"/>
        <v>1.92450084032268</v>
      </c>
      <c r="E175" s="59" t="str">
        <f>IF(COUNTIF($D$6:D175,$D$6)&gt;1,"Do Not Copy","Copy")</f>
        <v>Copy</v>
      </c>
    </row>
    <row r="176" spans="1:5" x14ac:dyDescent="0.25">
      <c r="A176" s="14">
        <f t="shared" si="7"/>
        <v>0.59027777777777624</v>
      </c>
      <c r="B176" s="27">
        <f>INDEX('IDF Distributions'!$A$1:$AB$290,MATCH(Tool!$A176,'IDF Distributions'!$A$1:$A$290,0),MATCH(Tool!B$5,'IDF Distributions'!$A$1:$AB$1,0))*$I$6</f>
        <v>0.16037507002689</v>
      </c>
      <c r="C176" s="24">
        <f t="shared" si="8"/>
        <v>42.012608050455668</v>
      </c>
      <c r="D176" s="57">
        <f t="shared" si="6"/>
        <v>1.92450084032268</v>
      </c>
      <c r="E176" s="59" t="str">
        <f>IF(COUNTIF($D$6:D176,$D$6)&gt;1,"Do Not Copy","Copy")</f>
        <v>Copy</v>
      </c>
    </row>
    <row r="177" spans="1:5" x14ac:dyDescent="0.25">
      <c r="A177" s="14">
        <f t="shared" si="7"/>
        <v>0.59374999999999845</v>
      </c>
      <c r="B177" s="27">
        <f>INDEX('IDF Distributions'!$A$1:$AB$290,MATCH(Tool!$A177,'IDF Distributions'!$A$1:$A$290,0),MATCH(Tool!B$5,'IDF Distributions'!$A$1:$AB$1,0))*$I$6</f>
        <v>0.15660153896743423</v>
      </c>
      <c r="C177" s="24">
        <f t="shared" si="8"/>
        <v>42.169209589423104</v>
      </c>
      <c r="D177" s="57">
        <f t="shared" si="6"/>
        <v>1.8792184676092107</v>
      </c>
      <c r="E177" s="59" t="str">
        <f>IF(COUNTIF($D$6:D177,$D$6)&gt;1,"Do Not Copy","Copy")</f>
        <v>Copy</v>
      </c>
    </row>
    <row r="178" spans="1:5" x14ac:dyDescent="0.25">
      <c r="A178" s="14">
        <f t="shared" si="7"/>
        <v>0.59722222222222066</v>
      </c>
      <c r="B178" s="27">
        <f>INDEX('IDF Distributions'!$A$1:$AB$290,MATCH(Tool!$A178,'IDF Distributions'!$A$1:$A$290,0),MATCH(Tool!B$5,'IDF Distributions'!$A$1:$AB$1,0))*$I$6</f>
        <v>0.15848830449716211</v>
      </c>
      <c r="C178" s="24">
        <f t="shared" si="8"/>
        <v>42.327697893920266</v>
      </c>
      <c r="D178" s="57">
        <f t="shared" si="6"/>
        <v>1.9018596539659454</v>
      </c>
      <c r="E178" s="59" t="str">
        <f>IF(COUNTIF($D$6:D178,$D$6)&gt;1,"Do Not Copy","Copy")</f>
        <v>Copy</v>
      </c>
    </row>
    <row r="179" spans="1:5" x14ac:dyDescent="0.25">
      <c r="A179" s="14">
        <f t="shared" si="7"/>
        <v>0.60069444444444287</v>
      </c>
      <c r="B179" s="27">
        <f>INDEX('IDF Distributions'!$A$1:$AB$290,MATCH(Tool!$A179,'IDF Distributions'!$A$1:$A$290,0),MATCH(Tool!B$5,'IDF Distributions'!$A$1:$AB$1,0))*$I$6</f>
        <v>0.15848830449716211</v>
      </c>
      <c r="C179" s="24">
        <f t="shared" si="8"/>
        <v>42.486186198417428</v>
      </c>
      <c r="D179" s="57">
        <f t="shared" si="6"/>
        <v>1.9018596539659454</v>
      </c>
      <c r="E179" s="59" t="str">
        <f>IF(COUNTIF($D$6:D179,$D$6)&gt;1,"Do Not Copy","Copy")</f>
        <v>Copy</v>
      </c>
    </row>
    <row r="180" spans="1:5" x14ac:dyDescent="0.25">
      <c r="A180" s="14">
        <f t="shared" si="7"/>
        <v>0.60416666666666508</v>
      </c>
      <c r="B180" s="27">
        <f>INDEX('IDF Distributions'!$A$1:$AB$290,MATCH(Tool!$A180,'IDF Distributions'!$A$1:$A$290,0),MATCH(Tool!B$5,'IDF Distributions'!$A$1:$AB$1,0))*$I$6</f>
        <v>0.15565815620256399</v>
      </c>
      <c r="C180" s="24">
        <f t="shared" si="8"/>
        <v>42.641844354619991</v>
      </c>
      <c r="D180" s="57">
        <f t="shared" si="6"/>
        <v>1.8678978744307679</v>
      </c>
      <c r="E180" s="59" t="str">
        <f>IF(COUNTIF($D$6:D180,$D$6)&gt;1,"Do Not Copy","Copy")</f>
        <v>Copy</v>
      </c>
    </row>
    <row r="181" spans="1:5" x14ac:dyDescent="0.25">
      <c r="A181" s="14">
        <f t="shared" si="7"/>
        <v>0.60763888888888729</v>
      </c>
      <c r="B181" s="27">
        <f>INDEX('IDF Distributions'!$A$1:$AB$290,MATCH(Tool!$A181,'IDF Distributions'!$A$1:$A$290,0),MATCH(Tool!B$5,'IDF Distributions'!$A$1:$AB$1,0))*$I$6</f>
        <v>0.15565815620257026</v>
      </c>
      <c r="C181" s="24">
        <f t="shared" si="8"/>
        <v>42.797502510822561</v>
      </c>
      <c r="D181" s="57">
        <f t="shared" si="6"/>
        <v>1.867897874430843</v>
      </c>
      <c r="E181" s="59" t="str">
        <f>IF(COUNTIF($D$6:D181,$D$6)&gt;1,"Do Not Copy","Copy")</f>
        <v>Copy</v>
      </c>
    </row>
    <row r="182" spans="1:5" x14ac:dyDescent="0.25">
      <c r="A182" s="14">
        <f t="shared" si="7"/>
        <v>0.6111111111111095</v>
      </c>
      <c r="B182" s="27">
        <f>INDEX('IDF Distributions'!$A$1:$AB$290,MATCH(Tool!$A182,'IDF Distributions'!$A$1:$A$290,0),MATCH(Tool!B$5,'IDF Distributions'!$A$1:$AB$1,0))*$I$6</f>
        <v>0.15565815620257026</v>
      </c>
      <c r="C182" s="24">
        <f t="shared" si="8"/>
        <v>42.953160667025131</v>
      </c>
      <c r="D182" s="57">
        <f t="shared" si="6"/>
        <v>1.867897874430843</v>
      </c>
      <c r="E182" s="59" t="str">
        <f>IF(COUNTIF($D$6:D182,$D$6)&gt;1,"Do Not Copy","Copy")</f>
        <v>Copy</v>
      </c>
    </row>
    <row r="183" spans="1:5" x14ac:dyDescent="0.25">
      <c r="A183" s="14">
        <f t="shared" si="7"/>
        <v>0.61458333333333171</v>
      </c>
      <c r="B183" s="27">
        <f>INDEX('IDF Distributions'!$A$1:$AB$290,MATCH(Tool!$A183,'IDF Distributions'!$A$1:$A$290,0),MATCH(Tool!B$5,'IDF Distributions'!$A$1:$AB$1,0))*$I$6</f>
        <v>0.15565815620257026</v>
      </c>
      <c r="C183" s="24">
        <f t="shared" si="8"/>
        <v>43.108818823227701</v>
      </c>
      <c r="D183" s="57">
        <f t="shared" si="6"/>
        <v>1.867897874430843</v>
      </c>
      <c r="E183" s="59" t="str">
        <f>IF(COUNTIF($D$6:D183,$D$6)&gt;1,"Do Not Copy","Copy")</f>
        <v>Copy</v>
      </c>
    </row>
    <row r="184" spans="1:5" x14ac:dyDescent="0.25">
      <c r="A184" s="14">
        <f t="shared" si="7"/>
        <v>0.61805555555555391</v>
      </c>
      <c r="B184" s="27">
        <f>INDEX('IDF Distributions'!$A$1:$AB$290,MATCH(Tool!$A184,'IDF Distributions'!$A$1:$A$290,0),MATCH(Tool!B$5,'IDF Distributions'!$A$1:$AB$1,0))*$I$6</f>
        <v>0.15565815620257026</v>
      </c>
      <c r="C184" s="24">
        <f t="shared" si="8"/>
        <v>43.26447697943027</v>
      </c>
      <c r="D184" s="57">
        <f t="shared" si="6"/>
        <v>1.867897874430843</v>
      </c>
      <c r="E184" s="59" t="str">
        <f>IF(COUNTIF($D$6:D184,$D$6)&gt;1,"Do Not Copy","Copy")</f>
        <v>Copy</v>
      </c>
    </row>
    <row r="185" spans="1:5" x14ac:dyDescent="0.25">
      <c r="A185" s="14">
        <f t="shared" si="7"/>
        <v>0.62152777777777612</v>
      </c>
      <c r="B185" s="27">
        <f>INDEX('IDF Distributions'!$A$1:$AB$290,MATCH(Tool!$A185,'IDF Distributions'!$A$1:$A$290,0),MATCH(Tool!B$5,'IDF Distributions'!$A$1:$AB$1,0))*$I$6</f>
        <v>0.1537713906728361</v>
      </c>
      <c r="C185" s="24">
        <f t="shared" si="8"/>
        <v>43.418248370103107</v>
      </c>
      <c r="D185" s="57">
        <f t="shared" si="6"/>
        <v>1.8452566880740333</v>
      </c>
      <c r="E185" s="59" t="str">
        <f>IF(COUNTIF($D$6:D185,$D$6)&gt;1,"Do Not Copy","Copy")</f>
        <v>Copy</v>
      </c>
    </row>
    <row r="186" spans="1:5" x14ac:dyDescent="0.25">
      <c r="A186" s="14">
        <f t="shared" si="7"/>
        <v>0.62499999999999833</v>
      </c>
      <c r="B186" s="27">
        <f>INDEX('IDF Distributions'!$A$1:$AB$290,MATCH(Tool!$A186,'IDF Distributions'!$A$1:$A$290,0),MATCH(Tool!B$5,'IDF Distributions'!$A$1:$AB$1,0))*$I$6</f>
        <v>0.15188462514310819</v>
      </c>
      <c r="C186" s="24">
        <f t="shared" si="8"/>
        <v>43.570132995246219</v>
      </c>
      <c r="D186" s="57">
        <f t="shared" si="6"/>
        <v>1.8226155017172982</v>
      </c>
      <c r="E186" s="59" t="str">
        <f>IF(COUNTIF($D$6:D186,$D$6)&gt;1,"Do Not Copy","Copy")</f>
        <v>Copy</v>
      </c>
    </row>
    <row r="187" spans="1:5" x14ac:dyDescent="0.25">
      <c r="A187" s="14">
        <f t="shared" si="7"/>
        <v>0.62847222222222054</v>
      </c>
      <c r="B187" s="27">
        <f>INDEX('IDF Distributions'!$A$1:$AB$290,MATCH(Tool!$A187,'IDF Distributions'!$A$1:$A$290,0),MATCH(Tool!B$5,'IDF Distributions'!$A$1:$AB$1,0))*$I$6</f>
        <v>0.15565815620257026</v>
      </c>
      <c r="C187" s="24">
        <f t="shared" si="8"/>
        <v>43.725791151448789</v>
      </c>
      <c r="D187" s="57">
        <f t="shared" si="6"/>
        <v>1.867897874430843</v>
      </c>
      <c r="E187" s="59" t="str">
        <f>IF(COUNTIF($D$6:D187,$D$6)&gt;1,"Do Not Copy","Copy")</f>
        <v>Copy</v>
      </c>
    </row>
    <row r="188" spans="1:5" x14ac:dyDescent="0.25">
      <c r="A188" s="14">
        <f t="shared" si="7"/>
        <v>0.63194444444444275</v>
      </c>
      <c r="B188" s="27">
        <f>INDEX('IDF Distributions'!$A$1:$AB$290,MATCH(Tool!$A188,'IDF Distributions'!$A$1:$A$290,0),MATCH(Tool!B$5,'IDF Distributions'!$A$1:$AB$1,0))*$I$6</f>
        <v>0.15094124237824424</v>
      </c>
      <c r="C188" s="24">
        <f t="shared" si="8"/>
        <v>43.876732393827034</v>
      </c>
      <c r="D188" s="57">
        <f t="shared" si="6"/>
        <v>1.8112949085389309</v>
      </c>
      <c r="E188" s="59" t="str">
        <f>IF(COUNTIF($D$6:D188,$D$6)&gt;1,"Do Not Copy","Copy")</f>
        <v>Copy</v>
      </c>
    </row>
    <row r="189" spans="1:5" x14ac:dyDescent="0.25">
      <c r="A189" s="14">
        <f t="shared" si="7"/>
        <v>0.63541666666666496</v>
      </c>
      <c r="B189" s="27">
        <f>INDEX('IDF Distributions'!$A$1:$AB$290,MATCH(Tool!$A189,'IDF Distributions'!$A$1:$A$290,0),MATCH(Tool!B$5,'IDF Distributions'!$A$1:$AB$1,0))*$I$6</f>
        <v>0.15094124237825682</v>
      </c>
      <c r="C189" s="24">
        <f t="shared" si="8"/>
        <v>44.027673636205293</v>
      </c>
      <c r="D189" s="57">
        <f t="shared" si="6"/>
        <v>1.8112949085390819</v>
      </c>
      <c r="E189" s="59" t="str">
        <f>IF(COUNTIF($D$6:D189,$D$6)&gt;1,"Do Not Copy","Copy")</f>
        <v>Copy</v>
      </c>
    </row>
    <row r="190" spans="1:5" x14ac:dyDescent="0.25">
      <c r="A190" s="14">
        <f t="shared" si="7"/>
        <v>0.63888888888888717</v>
      </c>
      <c r="B190" s="27">
        <f>INDEX('IDF Distributions'!$A$1:$AB$290,MATCH(Tool!$A190,'IDF Distributions'!$A$1:$A$290,0),MATCH(Tool!B$5,'IDF Distributions'!$A$1:$AB$1,0))*$I$6</f>
        <v>0.15094124237824424</v>
      </c>
      <c r="C190" s="24">
        <f t="shared" si="8"/>
        <v>44.178614878583538</v>
      </c>
      <c r="D190" s="57">
        <f t="shared" si="6"/>
        <v>1.8112949085389309</v>
      </c>
      <c r="E190" s="59" t="str">
        <f>IF(COUNTIF($D$6:D190,$D$6)&gt;1,"Do Not Copy","Copy")</f>
        <v>Copy</v>
      </c>
    </row>
    <row r="191" spans="1:5" x14ac:dyDescent="0.25">
      <c r="A191" s="14">
        <f t="shared" si="7"/>
        <v>0.64236111111110938</v>
      </c>
      <c r="B191" s="27">
        <f>INDEX('IDF Distributions'!$A$1:$AB$290,MATCH(Tool!$A191,'IDF Distributions'!$A$1:$A$290,0),MATCH(Tool!B$5,'IDF Distributions'!$A$1:$AB$1,0))*$I$6</f>
        <v>0.15094124237825052</v>
      </c>
      <c r="C191" s="24">
        <f t="shared" si="8"/>
        <v>44.32955612096179</v>
      </c>
      <c r="D191" s="57">
        <f t="shared" si="6"/>
        <v>1.8112949085390062</v>
      </c>
      <c r="E191" s="59" t="str">
        <f>IF(COUNTIF($D$6:D191,$D$6)&gt;1,"Do Not Copy","Copy")</f>
        <v>Copy</v>
      </c>
    </row>
    <row r="192" spans="1:5" x14ac:dyDescent="0.25">
      <c r="A192" s="14">
        <f t="shared" si="7"/>
        <v>0.64583333333333159</v>
      </c>
      <c r="B192" s="27">
        <f>INDEX('IDF Distributions'!$A$1:$AB$290,MATCH(Tool!$A192,'IDF Distributions'!$A$1:$A$290,0),MATCH(Tool!B$5,'IDF Distributions'!$A$1:$AB$1,0))*$I$6</f>
        <v>0.15094124237825052</v>
      </c>
      <c r="C192" s="24">
        <f t="shared" si="8"/>
        <v>44.480497363340042</v>
      </c>
      <c r="D192" s="57">
        <f t="shared" si="6"/>
        <v>1.8112949085390062</v>
      </c>
      <c r="E192" s="59" t="str">
        <f>IF(COUNTIF($D$6:D192,$D$6)&gt;1,"Do Not Copy","Copy")</f>
        <v>Copy</v>
      </c>
    </row>
    <row r="193" spans="1:5" x14ac:dyDescent="0.25">
      <c r="A193" s="14">
        <f t="shared" si="7"/>
        <v>0.6493055555555538</v>
      </c>
      <c r="B193" s="27">
        <f>INDEX('IDF Distributions'!$A$1:$AB$290,MATCH(Tool!$A193,'IDF Distributions'!$A$1:$A$290,0),MATCH(Tool!B$5,'IDF Distributions'!$A$1:$AB$1,0))*$I$6</f>
        <v>0.15094124237824424</v>
      </c>
      <c r="C193" s="24">
        <f t="shared" si="8"/>
        <v>44.631438605718287</v>
      </c>
      <c r="D193" s="57">
        <f t="shared" si="6"/>
        <v>1.8112949085389309</v>
      </c>
      <c r="E193" s="59" t="str">
        <f>IF(COUNTIF($D$6:D193,$D$6)&gt;1,"Do Not Copy","Copy")</f>
        <v>Copy</v>
      </c>
    </row>
    <row r="194" spans="1:5" x14ac:dyDescent="0.25">
      <c r="A194" s="14">
        <f t="shared" si="7"/>
        <v>0.65277777777777601</v>
      </c>
      <c r="B194" s="27">
        <f>INDEX('IDF Distributions'!$A$1:$AB$290,MATCH(Tool!$A194,'IDF Distributions'!$A$1:$A$290,0),MATCH(Tool!B$5,'IDF Distributions'!$A$1:$AB$1,0))*$I$6</f>
        <v>0.14622432855393078</v>
      </c>
      <c r="C194" s="24">
        <f t="shared" si="8"/>
        <v>44.777662934272215</v>
      </c>
      <c r="D194" s="57">
        <f t="shared" si="6"/>
        <v>1.7546919426471694</v>
      </c>
      <c r="E194" s="59" t="str">
        <f>IF(COUNTIF($D$6:D194,$D$6)&gt;1,"Do Not Copy","Copy")</f>
        <v>Copy</v>
      </c>
    </row>
    <row r="195" spans="1:5" x14ac:dyDescent="0.25">
      <c r="A195" s="14">
        <f t="shared" si="7"/>
        <v>0.65624999999999822</v>
      </c>
      <c r="B195" s="27">
        <f>INDEX('IDF Distributions'!$A$1:$AB$290,MATCH(Tool!$A195,'IDF Distributions'!$A$1:$A$290,0),MATCH(Tool!B$5,'IDF Distributions'!$A$1:$AB$1,0))*$I$6</f>
        <v>0.1462243285539245</v>
      </c>
      <c r="C195" s="24">
        <f t="shared" si="8"/>
        <v>44.923887262826142</v>
      </c>
      <c r="D195" s="57">
        <f t="shared" si="6"/>
        <v>1.7546919426470939</v>
      </c>
      <c r="E195" s="59" t="str">
        <f>IF(COUNTIF($D$6:D195,$D$6)&gt;1,"Do Not Copy","Copy")</f>
        <v>Copy</v>
      </c>
    </row>
    <row r="196" spans="1:5" x14ac:dyDescent="0.25">
      <c r="A196" s="14">
        <f t="shared" si="7"/>
        <v>0.65972222222222043</v>
      </c>
      <c r="B196" s="27">
        <f>INDEX('IDF Distributions'!$A$1:$AB$290,MATCH(Tool!$A196,'IDF Distributions'!$A$1:$A$290,0),MATCH(Tool!B$5,'IDF Distributions'!$A$1:$AB$1,0))*$I$6</f>
        <v>0.14905447684852263</v>
      </c>
      <c r="C196" s="24">
        <f t="shared" si="8"/>
        <v>45.072941739674661</v>
      </c>
      <c r="D196" s="57">
        <f t="shared" si="6"/>
        <v>1.7886537221822716</v>
      </c>
      <c r="E196" s="59" t="str">
        <f>IF(COUNTIF($D$6:D196,$D$6)&gt;1,"Do Not Copy","Copy")</f>
        <v>Copy</v>
      </c>
    </row>
    <row r="197" spans="1:5" x14ac:dyDescent="0.25">
      <c r="A197" s="14">
        <f t="shared" si="7"/>
        <v>0.66319444444444264</v>
      </c>
      <c r="B197" s="27">
        <f>INDEX('IDF Distributions'!$A$1:$AB$290,MATCH(Tool!$A197,'IDF Distributions'!$A$1:$A$290,0),MATCH(Tool!B$5,'IDF Distributions'!$A$1:$AB$1,0))*$I$6</f>
        <v>0.14905447684852263</v>
      </c>
      <c r="C197" s="24">
        <f t="shared" si="8"/>
        <v>45.221996216523181</v>
      </c>
      <c r="D197" s="57">
        <f t="shared" si="6"/>
        <v>1.7886537221822716</v>
      </c>
      <c r="E197" s="59" t="str">
        <f>IF(COUNTIF($D$6:D197,$D$6)&gt;1,"Do Not Copy","Copy")</f>
        <v>Copy</v>
      </c>
    </row>
    <row r="198" spans="1:5" x14ac:dyDescent="0.25">
      <c r="A198" s="14">
        <f t="shared" si="7"/>
        <v>0.66666666666666485</v>
      </c>
      <c r="B198" s="27">
        <f>INDEX('IDF Distributions'!$A$1:$AB$290,MATCH(Tool!$A198,'IDF Distributions'!$A$1:$A$290,0),MATCH(Tool!B$5,'IDF Distributions'!$A$1:$AB$1,0))*$I$6</f>
        <v>0.1462243285539245</v>
      </c>
      <c r="C198" s="24">
        <f t="shared" si="8"/>
        <v>45.368220545077108</v>
      </c>
      <c r="D198" s="57">
        <f t="shared" si="6"/>
        <v>1.7546919426470939</v>
      </c>
      <c r="E198" s="59" t="str">
        <f>IF(COUNTIF($D$6:D198,$D$6)&gt;1,"Do Not Copy","Copy")</f>
        <v>Copy</v>
      </c>
    </row>
    <row r="199" spans="1:5" x14ac:dyDescent="0.25">
      <c r="A199" s="14">
        <f t="shared" si="7"/>
        <v>0.67013888888888706</v>
      </c>
      <c r="B199" s="27">
        <f>INDEX('IDF Distributions'!$A$1:$AB$290,MATCH(Tool!$A199,'IDF Distributions'!$A$1:$A$290,0),MATCH(Tool!B$5,'IDF Distributions'!$A$1:$AB$1,0))*$I$6</f>
        <v>0.14622432855393078</v>
      </c>
      <c r="C199" s="24">
        <f t="shared" si="8"/>
        <v>45.514444873631035</v>
      </c>
      <c r="D199" s="57">
        <f t="shared" ref="D199:D262" si="9">B199*12</f>
        <v>1.7546919426471694</v>
      </c>
      <c r="E199" s="59" t="str">
        <f>IF(COUNTIF($D$6:D199,$D$6)&gt;1,"Do Not Copy","Copy")</f>
        <v>Copy</v>
      </c>
    </row>
    <row r="200" spans="1:5" x14ac:dyDescent="0.25">
      <c r="A200" s="14">
        <f t="shared" ref="A200:A263" si="10">A199+TIME(0,5,0)</f>
        <v>0.67361111111110927</v>
      </c>
      <c r="B200" s="27">
        <f>INDEX('IDF Distributions'!$A$1:$AB$290,MATCH(Tool!$A200,'IDF Distributions'!$A$1:$A$290,0),MATCH(Tool!B$5,'IDF Distributions'!$A$1:$AB$1,0))*$I$6</f>
        <v>0.14150741472960476</v>
      </c>
      <c r="C200" s="24">
        <f t="shared" ref="C200:C263" si="11">B200+C199</f>
        <v>45.655952288360638</v>
      </c>
      <c r="D200" s="57">
        <f t="shared" si="9"/>
        <v>1.6980889767552572</v>
      </c>
      <c r="E200" s="59" t="str">
        <f>IF(COUNTIF($D$6:D200,$D$6)&gt;1,"Do Not Copy","Copy")</f>
        <v>Copy</v>
      </c>
    </row>
    <row r="201" spans="1:5" x14ac:dyDescent="0.25">
      <c r="A201" s="14">
        <f t="shared" si="10"/>
        <v>0.67708333333333148</v>
      </c>
      <c r="B201" s="27">
        <f>INDEX('IDF Distributions'!$A$1:$AB$290,MATCH(Tool!$A201,'IDF Distributions'!$A$1:$A$290,0),MATCH(Tool!B$5,'IDF Distributions'!$A$1:$AB$1,0))*$I$6</f>
        <v>0.14528094578906683</v>
      </c>
      <c r="C201" s="24">
        <f t="shared" si="11"/>
        <v>45.801233234149706</v>
      </c>
      <c r="D201" s="57">
        <f t="shared" si="9"/>
        <v>1.7433713494688021</v>
      </c>
      <c r="E201" s="59" t="str">
        <f>IF(COUNTIF($D$6:D201,$D$6)&gt;1,"Do Not Copy","Copy")</f>
        <v>Copy</v>
      </c>
    </row>
    <row r="202" spans="1:5" x14ac:dyDescent="0.25">
      <c r="A202" s="14">
        <f t="shared" si="10"/>
        <v>0.68055555555555369</v>
      </c>
      <c r="B202" s="27">
        <f>INDEX('IDF Distributions'!$A$1:$AB$290,MATCH(Tool!$A202,'IDF Distributions'!$A$1:$A$290,0),MATCH(Tool!B$5,'IDF Distributions'!$A$1:$AB$1,0))*$I$6</f>
        <v>0.14339418025933895</v>
      </c>
      <c r="C202" s="24">
        <f t="shared" si="11"/>
        <v>45.944627414409048</v>
      </c>
      <c r="D202" s="57">
        <f t="shared" si="9"/>
        <v>1.7207301631120675</v>
      </c>
      <c r="E202" s="59" t="str">
        <f>IF(COUNTIF($D$6:D202,$D$6)&gt;1,"Do Not Copy","Copy")</f>
        <v>Copy</v>
      </c>
    </row>
    <row r="203" spans="1:5" x14ac:dyDescent="0.25">
      <c r="A203" s="14">
        <f t="shared" si="10"/>
        <v>0.6840277777777759</v>
      </c>
      <c r="B203" s="27">
        <f>INDEX('IDF Distributions'!$A$1:$AB$290,MATCH(Tool!$A203,'IDF Distributions'!$A$1:$A$290,0),MATCH(Tool!B$5,'IDF Distributions'!$A$1:$AB$1,0))*$I$6</f>
        <v>0.14339418025933265</v>
      </c>
      <c r="C203" s="24">
        <f t="shared" si="11"/>
        <v>46.088021594668383</v>
      </c>
      <c r="D203" s="57">
        <f t="shared" si="9"/>
        <v>1.7207301631119918</v>
      </c>
      <c r="E203" s="59" t="str">
        <f>IF(COUNTIF($D$6:D203,$D$6)&gt;1,"Do Not Copy","Copy")</f>
        <v>Copy</v>
      </c>
    </row>
    <row r="204" spans="1:5" x14ac:dyDescent="0.25">
      <c r="A204" s="14">
        <f t="shared" si="10"/>
        <v>0.68749999999999811</v>
      </c>
      <c r="B204" s="27">
        <f>INDEX('IDF Distributions'!$A$1:$AB$290,MATCH(Tool!$A204,'IDF Distributions'!$A$1:$A$290,0),MATCH(Tool!B$5,'IDF Distributions'!$A$1:$AB$1,0))*$I$6</f>
        <v>0.14528094578906056</v>
      </c>
      <c r="C204" s="24">
        <f t="shared" si="11"/>
        <v>46.233302540457444</v>
      </c>
      <c r="D204" s="57">
        <f t="shared" si="9"/>
        <v>1.7433713494687266</v>
      </c>
      <c r="E204" s="59" t="str">
        <f>IF(COUNTIF($D$6:D204,$D$6)&gt;1,"Do Not Copy","Copy")</f>
        <v>Copy</v>
      </c>
    </row>
    <row r="205" spans="1:5" x14ac:dyDescent="0.25">
      <c r="A205" s="14">
        <f t="shared" si="10"/>
        <v>0.69097222222222032</v>
      </c>
      <c r="B205" s="27">
        <f>INDEX('IDF Distributions'!$A$1:$AB$290,MATCH(Tool!$A205,'IDF Distributions'!$A$1:$A$290,0),MATCH(Tool!B$5,'IDF Distributions'!$A$1:$AB$1,0))*$I$6</f>
        <v>0.14150741472961104</v>
      </c>
      <c r="C205" s="24">
        <f t="shared" si="11"/>
        <v>46.374809955187054</v>
      </c>
      <c r="D205" s="57">
        <f t="shared" si="9"/>
        <v>1.6980889767553324</v>
      </c>
      <c r="E205" s="59" t="str">
        <f>IF(COUNTIF($D$6:D205,$D$6)&gt;1,"Do Not Copy","Copy")</f>
        <v>Copy</v>
      </c>
    </row>
    <row r="206" spans="1:5" x14ac:dyDescent="0.25">
      <c r="A206" s="14">
        <f t="shared" si="10"/>
        <v>0.69444444444444253</v>
      </c>
      <c r="B206" s="27">
        <f>INDEX('IDF Distributions'!$A$1:$AB$290,MATCH(Tool!$A206,'IDF Distributions'!$A$1:$A$290,0),MATCH(Tool!B$5,'IDF Distributions'!$A$1:$AB$1,0))*$I$6</f>
        <v>0.14150741472961104</v>
      </c>
      <c r="C206" s="24">
        <f t="shared" si="11"/>
        <v>46.516317369916663</v>
      </c>
      <c r="D206" s="57">
        <f t="shared" si="9"/>
        <v>1.6980889767553324</v>
      </c>
      <c r="E206" s="59" t="str">
        <f>IF(COUNTIF($D$6:D206,$D$6)&gt;1,"Do Not Copy","Copy")</f>
        <v>Copy</v>
      </c>
    </row>
    <row r="207" spans="1:5" x14ac:dyDescent="0.25">
      <c r="A207" s="14">
        <f t="shared" si="10"/>
        <v>0.69791666666666474</v>
      </c>
      <c r="B207" s="27">
        <f>INDEX('IDF Distributions'!$A$1:$AB$290,MATCH(Tool!$A207,'IDF Distributions'!$A$1:$A$290,0),MATCH(Tool!B$5,'IDF Distributions'!$A$1:$AB$1,0))*$I$6</f>
        <v>0.13773388367014897</v>
      </c>
      <c r="C207" s="24">
        <f t="shared" si="11"/>
        <v>46.654051253586815</v>
      </c>
      <c r="D207" s="57">
        <f t="shared" si="9"/>
        <v>1.6528066040417877</v>
      </c>
      <c r="E207" s="59" t="str">
        <f>IF(COUNTIF($D$6:D207,$D$6)&gt;1,"Do Not Copy","Copy")</f>
        <v>Copy</v>
      </c>
    </row>
    <row r="208" spans="1:5" x14ac:dyDescent="0.25">
      <c r="A208" s="14">
        <f t="shared" si="10"/>
        <v>0.70138888888888695</v>
      </c>
      <c r="B208" s="27">
        <f>INDEX('IDF Distributions'!$A$1:$AB$290,MATCH(Tool!$A208,'IDF Distributions'!$A$1:$A$290,0),MATCH(Tool!B$5,'IDF Distributions'!$A$1:$AB$1,0))*$I$6</f>
        <v>0.13962064919987688</v>
      </c>
      <c r="C208" s="24">
        <f t="shared" si="11"/>
        <v>46.793671902786691</v>
      </c>
      <c r="D208" s="57">
        <f t="shared" si="9"/>
        <v>1.6754477903985225</v>
      </c>
      <c r="E208" s="59" t="str">
        <f>IF(COUNTIF($D$6:D208,$D$6)&gt;1,"Do Not Copy","Copy")</f>
        <v>Copy</v>
      </c>
    </row>
    <row r="209" spans="1:5" x14ac:dyDescent="0.25">
      <c r="A209" s="14">
        <f t="shared" si="10"/>
        <v>0.70486111111110916</v>
      </c>
      <c r="B209" s="27">
        <f>INDEX('IDF Distributions'!$A$1:$AB$290,MATCH(Tool!$A209,'IDF Distributions'!$A$1:$A$290,0),MATCH(Tool!B$5,'IDF Distributions'!$A$1:$AB$1,0))*$I$6</f>
        <v>0.14150741472961104</v>
      </c>
      <c r="C209" s="24">
        <f t="shared" si="11"/>
        <v>46.935179317516301</v>
      </c>
      <c r="D209" s="57">
        <f t="shared" si="9"/>
        <v>1.6980889767553324</v>
      </c>
      <c r="E209" s="59" t="str">
        <f>IF(COUNTIF($D$6:D209,$D$6)&gt;1,"Do Not Copy","Copy")</f>
        <v>Copy</v>
      </c>
    </row>
    <row r="210" spans="1:5" x14ac:dyDescent="0.25">
      <c r="A210" s="14">
        <f t="shared" si="10"/>
        <v>0.70833333333333137</v>
      </c>
      <c r="B210" s="27">
        <f>INDEX('IDF Distributions'!$A$1:$AB$290,MATCH(Tool!$A210,'IDF Distributions'!$A$1:$A$290,0),MATCH(Tool!B$5,'IDF Distributions'!$A$1:$AB$1,0))*$I$6</f>
        <v>0.14056403196474082</v>
      </c>
      <c r="C210" s="24">
        <f t="shared" si="11"/>
        <v>47.075743349481044</v>
      </c>
      <c r="D210" s="57">
        <f t="shared" si="9"/>
        <v>1.6867683835768899</v>
      </c>
      <c r="E210" s="59" t="str">
        <f>IF(COUNTIF($D$6:D210,$D$6)&gt;1,"Do Not Copy","Copy")</f>
        <v>Copy</v>
      </c>
    </row>
    <row r="211" spans="1:5" x14ac:dyDescent="0.25">
      <c r="A211" s="14">
        <f t="shared" si="10"/>
        <v>0.71180555555555358</v>
      </c>
      <c r="B211" s="27">
        <f>INDEX('IDF Distributions'!$A$1:$AB$290,MATCH(Tool!$A211,'IDF Distributions'!$A$1:$A$290,0),MATCH(Tool!B$5,'IDF Distributions'!$A$1:$AB$1,0))*$I$6</f>
        <v>0.13679050090528502</v>
      </c>
      <c r="C211" s="24">
        <f t="shared" si="11"/>
        <v>47.212533850386329</v>
      </c>
      <c r="D211" s="57">
        <f t="shared" si="9"/>
        <v>1.6414860108634204</v>
      </c>
      <c r="E211" s="59" t="str">
        <f>IF(COUNTIF($D$6:D211,$D$6)&gt;1,"Do Not Copy","Copy")</f>
        <v>Copy</v>
      </c>
    </row>
    <row r="212" spans="1:5" x14ac:dyDescent="0.25">
      <c r="A212" s="14">
        <f t="shared" si="10"/>
        <v>0.71527777777777579</v>
      </c>
      <c r="B212" s="27">
        <f>INDEX('IDF Distributions'!$A$1:$AB$290,MATCH(Tool!$A212,'IDF Distributions'!$A$1:$A$290,0),MATCH(Tool!B$5,'IDF Distributions'!$A$1:$AB$1,0))*$I$6</f>
        <v>0.13679050090528502</v>
      </c>
      <c r="C212" s="24">
        <f t="shared" si="11"/>
        <v>47.349324351291614</v>
      </c>
      <c r="D212" s="57">
        <f t="shared" si="9"/>
        <v>1.6414860108634204</v>
      </c>
      <c r="E212" s="59" t="str">
        <f>IF(COUNTIF($D$6:D212,$D$6)&gt;1,"Do Not Copy","Copy")</f>
        <v>Copy</v>
      </c>
    </row>
    <row r="213" spans="1:5" x14ac:dyDescent="0.25">
      <c r="A213" s="14">
        <f t="shared" si="10"/>
        <v>0.718749999999998</v>
      </c>
      <c r="B213" s="27">
        <f>INDEX('IDF Distributions'!$A$1:$AB$290,MATCH(Tool!$A213,'IDF Distributions'!$A$1:$A$290,0),MATCH(Tool!B$5,'IDF Distributions'!$A$1:$AB$1,0))*$I$6</f>
        <v>0.1367905009052913</v>
      </c>
      <c r="C213" s="24">
        <f t="shared" si="11"/>
        <v>47.486114852196906</v>
      </c>
      <c r="D213" s="57">
        <f t="shared" si="9"/>
        <v>1.6414860108634954</v>
      </c>
      <c r="E213" s="59" t="str">
        <f>IF(COUNTIF($D$6:D213,$D$6)&gt;1,"Do Not Copy","Copy")</f>
        <v>Copy</v>
      </c>
    </row>
    <row r="214" spans="1:5" x14ac:dyDescent="0.25">
      <c r="A214" s="14">
        <f t="shared" si="10"/>
        <v>0.72222222222222021</v>
      </c>
      <c r="B214" s="27">
        <f>INDEX('IDF Distributions'!$A$1:$AB$290,MATCH(Tool!$A214,'IDF Distributions'!$A$1:$A$290,0),MATCH(Tool!B$5,'IDF Distributions'!$A$1:$AB$1,0))*$I$6</f>
        <v>0.1367905009052913</v>
      </c>
      <c r="C214" s="24">
        <f t="shared" si="11"/>
        <v>47.622905353102198</v>
      </c>
      <c r="D214" s="57">
        <f t="shared" si="9"/>
        <v>1.6414860108634954</v>
      </c>
      <c r="E214" s="59" t="str">
        <f>IF(COUNTIF($D$6:D214,$D$6)&gt;1,"Do Not Copy","Copy")</f>
        <v>Copy</v>
      </c>
    </row>
    <row r="215" spans="1:5" x14ac:dyDescent="0.25">
      <c r="A215" s="14">
        <f t="shared" si="10"/>
        <v>0.72569444444444242</v>
      </c>
      <c r="B215" s="27">
        <f>INDEX('IDF Distributions'!$A$1:$AB$290,MATCH(Tool!$A215,'IDF Distributions'!$A$1:$A$290,0),MATCH(Tool!B$5,'IDF Distributions'!$A$1:$AB$1,0))*$I$6</f>
        <v>0.13679050090528502</v>
      </c>
      <c r="C215" s="24">
        <f t="shared" si="11"/>
        <v>47.759695854007482</v>
      </c>
      <c r="D215" s="57">
        <f t="shared" si="9"/>
        <v>1.6414860108634204</v>
      </c>
      <c r="E215" s="59" t="str">
        <f>IF(COUNTIF($D$6:D215,$D$6)&gt;1,"Do Not Copy","Copy")</f>
        <v>Copy</v>
      </c>
    </row>
    <row r="216" spans="1:5" x14ac:dyDescent="0.25">
      <c r="A216" s="14">
        <f t="shared" si="10"/>
        <v>0.72916666666666463</v>
      </c>
      <c r="B216" s="27">
        <f>INDEX('IDF Distributions'!$A$1:$AB$290,MATCH(Tool!$A216,'IDF Distributions'!$A$1:$A$290,0),MATCH(Tool!B$5,'IDF Distributions'!$A$1:$AB$1,0))*$I$6</f>
        <v>0.13679050090528502</v>
      </c>
      <c r="C216" s="24">
        <f t="shared" si="11"/>
        <v>47.896486354912767</v>
      </c>
      <c r="D216" s="57">
        <f t="shared" si="9"/>
        <v>1.6414860108634204</v>
      </c>
      <c r="E216" s="59" t="str">
        <f>IF(COUNTIF($D$6:D216,$D$6)&gt;1,"Do Not Copy","Copy")</f>
        <v>Copy</v>
      </c>
    </row>
    <row r="217" spans="1:5" x14ac:dyDescent="0.25">
      <c r="A217" s="14">
        <f t="shared" si="10"/>
        <v>0.73263888888888684</v>
      </c>
      <c r="B217" s="27">
        <f>INDEX('IDF Distributions'!$A$1:$AB$290,MATCH(Tool!$A217,'IDF Distributions'!$A$1:$A$290,0),MATCH(Tool!B$5,'IDF Distributions'!$A$1:$AB$1,0))*$I$6</f>
        <v>0.1367905009052913</v>
      </c>
      <c r="C217" s="24">
        <f t="shared" si="11"/>
        <v>48.033276855818059</v>
      </c>
      <c r="D217" s="57">
        <f t="shared" si="9"/>
        <v>1.6414860108634954</v>
      </c>
      <c r="E217" s="59" t="str">
        <f>IF(COUNTIF($D$6:D217,$D$6)&gt;1,"Do Not Copy","Copy")</f>
        <v>Copy</v>
      </c>
    </row>
    <row r="218" spans="1:5" x14ac:dyDescent="0.25">
      <c r="A218" s="14">
        <f t="shared" si="10"/>
        <v>0.73611111111110905</v>
      </c>
      <c r="B218" s="27">
        <f>INDEX('IDF Distributions'!$A$1:$AB$290,MATCH(Tool!$A218,'IDF Distributions'!$A$1:$A$290,0),MATCH(Tool!B$5,'IDF Distributions'!$A$1:$AB$1,0))*$I$6</f>
        <v>0.13207358708096528</v>
      </c>
      <c r="C218" s="24">
        <f t="shared" si="11"/>
        <v>48.165350442899026</v>
      </c>
      <c r="D218" s="57">
        <f t="shared" si="9"/>
        <v>1.5848830449715834</v>
      </c>
      <c r="E218" s="59" t="str">
        <f>IF(COUNTIF($D$6:D218,$D$6)&gt;1,"Do Not Copy","Copy")</f>
        <v>Copy</v>
      </c>
    </row>
    <row r="219" spans="1:5" x14ac:dyDescent="0.25">
      <c r="A219" s="14">
        <f t="shared" si="10"/>
        <v>0.73958333333333126</v>
      </c>
      <c r="B219" s="27">
        <f>INDEX('IDF Distributions'!$A$1:$AB$290,MATCH(Tool!$A219,'IDF Distributions'!$A$1:$A$290,0),MATCH(Tool!B$5,'IDF Distributions'!$A$1:$AB$1,0))*$I$6</f>
        <v>0.13207358708096528</v>
      </c>
      <c r="C219" s="24">
        <f t="shared" si="11"/>
        <v>48.297424029979993</v>
      </c>
      <c r="D219" s="57">
        <f t="shared" si="9"/>
        <v>1.5848830449715834</v>
      </c>
      <c r="E219" s="59" t="str">
        <f>IF(COUNTIF($D$6:D219,$D$6)&gt;1,"Do Not Copy","Copy")</f>
        <v>Copy</v>
      </c>
    </row>
    <row r="220" spans="1:5" x14ac:dyDescent="0.25">
      <c r="A220" s="14">
        <f t="shared" si="10"/>
        <v>0.74305555555555347</v>
      </c>
      <c r="B220" s="27">
        <f>INDEX('IDF Distributions'!$A$1:$AB$290,MATCH(Tool!$A220,'IDF Distributions'!$A$1:$A$290,0),MATCH(Tool!B$5,'IDF Distributions'!$A$1:$AB$1,0))*$I$6</f>
        <v>0.13207358708096528</v>
      </c>
      <c r="C220" s="24">
        <f t="shared" si="11"/>
        <v>48.42949761706096</v>
      </c>
      <c r="D220" s="57">
        <f t="shared" si="9"/>
        <v>1.5848830449715834</v>
      </c>
      <c r="E220" s="59" t="str">
        <f>IF(COUNTIF($D$6:D220,$D$6)&gt;1,"Do Not Copy","Copy")</f>
        <v>Copy</v>
      </c>
    </row>
    <row r="221" spans="1:5" x14ac:dyDescent="0.25">
      <c r="A221" s="14">
        <f t="shared" si="10"/>
        <v>0.74652777777777568</v>
      </c>
      <c r="B221" s="27">
        <f>INDEX('IDF Distributions'!$A$1:$AB$290,MATCH(Tool!$A221,'IDF Distributions'!$A$1:$A$290,0),MATCH(Tool!B$5,'IDF Distributions'!$A$1:$AB$1,0))*$I$6</f>
        <v>0.13207358708097158</v>
      </c>
      <c r="C221" s="24">
        <f t="shared" si="11"/>
        <v>48.561571204141934</v>
      </c>
      <c r="D221" s="57">
        <f t="shared" si="9"/>
        <v>1.5848830449716589</v>
      </c>
      <c r="E221" s="59" t="str">
        <f>IF(COUNTIF($D$6:D221,$D$6)&gt;1,"Do Not Copy","Copy")</f>
        <v>Copy</v>
      </c>
    </row>
    <row r="222" spans="1:5" x14ac:dyDescent="0.25">
      <c r="A222" s="14">
        <f t="shared" si="10"/>
        <v>0.74999999999999789</v>
      </c>
      <c r="B222" s="27">
        <f>INDEX('IDF Distributions'!$A$1:$AB$290,MATCH(Tool!$A222,'IDF Distributions'!$A$1:$A$290,0),MATCH(Tool!B$5,'IDF Distributions'!$A$1:$AB$1,0))*$I$6</f>
        <v>0.13207358708097158</v>
      </c>
      <c r="C222" s="24">
        <f t="shared" si="11"/>
        <v>48.693644791222908</v>
      </c>
      <c r="D222" s="57">
        <f t="shared" si="9"/>
        <v>1.5848830449716589</v>
      </c>
      <c r="E222" s="59" t="str">
        <f>IF(COUNTIF($D$6:D222,$D$6)&gt;1,"Do Not Copy","Copy")</f>
        <v>Copy</v>
      </c>
    </row>
    <row r="223" spans="1:5" x14ac:dyDescent="0.25">
      <c r="A223" s="14">
        <f t="shared" si="10"/>
        <v>0.7534722222222201</v>
      </c>
      <c r="B223" s="27">
        <f>INDEX('IDF Distributions'!$A$1:$AB$290,MATCH(Tool!$A223,'IDF Distributions'!$A$1:$A$290,0),MATCH(Tool!B$5,'IDF Distributions'!$A$1:$AB$1,0))*$I$6</f>
        <v>0.13207358708096528</v>
      </c>
      <c r="C223" s="24">
        <f t="shared" si="11"/>
        <v>48.825718378303876</v>
      </c>
      <c r="D223" s="57">
        <f t="shared" si="9"/>
        <v>1.5848830449715834</v>
      </c>
      <c r="E223" s="59" t="str">
        <f>IF(COUNTIF($D$6:D223,$D$6)&gt;1,"Do Not Copy","Copy")</f>
        <v>Copy</v>
      </c>
    </row>
    <row r="224" spans="1:5" x14ac:dyDescent="0.25">
      <c r="A224" s="14">
        <f t="shared" si="10"/>
        <v>0.75694444444444231</v>
      </c>
      <c r="B224" s="27">
        <f>INDEX('IDF Distributions'!$A$1:$AB$290,MATCH(Tool!$A224,'IDF Distributions'!$A$1:$A$290,0),MATCH(Tool!B$5,'IDF Distributions'!$A$1:$AB$1,0))*$I$6</f>
        <v>0.13207358708096528</v>
      </c>
      <c r="C224" s="24">
        <f t="shared" si="11"/>
        <v>48.957791965384843</v>
      </c>
      <c r="D224" s="57">
        <f t="shared" si="9"/>
        <v>1.5848830449715834</v>
      </c>
      <c r="E224" s="59" t="str">
        <f>IF(COUNTIF($D$6:D224,$D$6)&gt;1,"Do Not Copy","Copy")</f>
        <v>Copy</v>
      </c>
    </row>
    <row r="225" spans="1:5" x14ac:dyDescent="0.25">
      <c r="A225" s="14">
        <f t="shared" si="10"/>
        <v>0.76041666666666452</v>
      </c>
      <c r="B225" s="27">
        <f>INDEX('IDF Distributions'!$A$1:$AB$290,MATCH(Tool!$A225,'IDF Distributions'!$A$1:$A$290,0),MATCH(Tool!B$5,'IDF Distributions'!$A$1:$AB$1,0))*$I$6</f>
        <v>0.12830005602150948</v>
      </c>
      <c r="C225" s="24">
        <f t="shared" si="11"/>
        <v>49.086092021406351</v>
      </c>
      <c r="D225" s="57">
        <f t="shared" si="9"/>
        <v>1.5396006722581137</v>
      </c>
      <c r="E225" s="59" t="str">
        <f>IF(COUNTIF($D$6:D225,$D$6)&gt;1,"Do Not Copy","Copy")</f>
        <v>Copy</v>
      </c>
    </row>
    <row r="226" spans="1:5" x14ac:dyDescent="0.25">
      <c r="A226" s="14">
        <f t="shared" si="10"/>
        <v>0.76388888888888673</v>
      </c>
      <c r="B226" s="27">
        <f>INDEX('IDF Distributions'!$A$1:$AB$290,MATCH(Tool!$A226,'IDF Distributions'!$A$1:$A$290,0),MATCH(Tool!B$5,'IDF Distributions'!$A$1:$AB$1,0))*$I$6</f>
        <v>0.1301868215512374</v>
      </c>
      <c r="C226" s="24">
        <f t="shared" si="11"/>
        <v>49.216278842957585</v>
      </c>
      <c r="D226" s="57">
        <f t="shared" si="9"/>
        <v>1.5622418586148488</v>
      </c>
      <c r="E226" s="59" t="str">
        <f>IF(COUNTIF($D$6:D226,$D$6)&gt;1,"Do Not Copy","Copy")</f>
        <v>Copy</v>
      </c>
    </row>
    <row r="227" spans="1:5" x14ac:dyDescent="0.25">
      <c r="A227" s="14">
        <f t="shared" si="10"/>
        <v>0.76736111111110894</v>
      </c>
      <c r="B227" s="27">
        <f>INDEX('IDF Distributions'!$A$1:$AB$290,MATCH(Tool!$A227,'IDF Distributions'!$A$1:$A$290,0),MATCH(Tool!B$5,'IDF Distributions'!$A$1:$AB$1,0))*$I$6</f>
        <v>0.13018682155124367</v>
      </c>
      <c r="C227" s="24">
        <f t="shared" si="11"/>
        <v>49.346465664508827</v>
      </c>
      <c r="D227" s="57">
        <f t="shared" si="9"/>
        <v>1.562241858614924</v>
      </c>
      <c r="E227" s="59" t="str">
        <f>IF(COUNTIF($D$6:D227,$D$6)&gt;1,"Do Not Copy","Copy")</f>
        <v>Copy</v>
      </c>
    </row>
    <row r="228" spans="1:5" x14ac:dyDescent="0.25">
      <c r="A228" s="14">
        <f t="shared" si="10"/>
        <v>0.77083333333333115</v>
      </c>
      <c r="B228" s="27">
        <f>INDEX('IDF Distributions'!$A$1:$AB$290,MATCH(Tool!$A228,'IDF Distributions'!$A$1:$A$290,0),MATCH(Tool!B$5,'IDF Distributions'!$A$1:$AB$1,0))*$I$6</f>
        <v>0.12735667325664554</v>
      </c>
      <c r="C228" s="24">
        <f t="shared" si="11"/>
        <v>49.473822337765469</v>
      </c>
      <c r="D228" s="57">
        <f t="shared" si="9"/>
        <v>1.5282800790797464</v>
      </c>
      <c r="E228" s="59" t="str">
        <f>IF(COUNTIF($D$6:D228,$D$6)&gt;1,"Do Not Copy","Copy")</f>
        <v>Copy</v>
      </c>
    </row>
    <row r="229" spans="1:5" x14ac:dyDescent="0.25">
      <c r="A229" s="14">
        <f t="shared" si="10"/>
        <v>0.77430555555555336</v>
      </c>
      <c r="B229" s="27">
        <f>INDEX('IDF Distributions'!$A$1:$AB$290,MATCH(Tool!$A229,'IDF Distributions'!$A$1:$A$290,0),MATCH(Tool!B$5,'IDF Distributions'!$A$1:$AB$1,0))*$I$6</f>
        <v>0.12735667325664554</v>
      </c>
      <c r="C229" s="24">
        <f t="shared" si="11"/>
        <v>49.601179011022111</v>
      </c>
      <c r="D229" s="57">
        <f t="shared" si="9"/>
        <v>1.5282800790797464</v>
      </c>
      <c r="E229" s="59" t="str">
        <f>IF(COUNTIF($D$6:D229,$D$6)&gt;1,"Do Not Copy","Copy")</f>
        <v>Copy</v>
      </c>
    </row>
    <row r="230" spans="1:5" x14ac:dyDescent="0.25">
      <c r="A230" s="14">
        <f t="shared" si="10"/>
        <v>0.77777777777777557</v>
      </c>
      <c r="B230" s="27">
        <f>INDEX('IDF Distributions'!$A$1:$AB$290,MATCH(Tool!$A230,'IDF Distributions'!$A$1:$A$290,0),MATCH(Tool!B$5,'IDF Distributions'!$A$1:$AB$1,0))*$I$6</f>
        <v>0.12735667325664554</v>
      </c>
      <c r="C230" s="24">
        <f t="shared" si="11"/>
        <v>49.728535684278754</v>
      </c>
      <c r="D230" s="57">
        <f t="shared" si="9"/>
        <v>1.5282800790797464</v>
      </c>
      <c r="E230" s="59" t="str">
        <f>IF(COUNTIF($D$6:D230,$D$6)&gt;1,"Do Not Copy","Copy")</f>
        <v>Copy</v>
      </c>
    </row>
    <row r="231" spans="1:5" x14ac:dyDescent="0.25">
      <c r="A231" s="14">
        <f t="shared" si="10"/>
        <v>0.78124999999999778</v>
      </c>
      <c r="B231" s="27">
        <f>INDEX('IDF Distributions'!$A$1:$AB$290,MATCH(Tool!$A231,'IDF Distributions'!$A$1:$A$290,0),MATCH(Tool!B$5,'IDF Distributions'!$A$1:$AB$1,0))*$I$6</f>
        <v>0.12735667325665184</v>
      </c>
      <c r="C231" s="24">
        <f t="shared" si="11"/>
        <v>49.855892357535403</v>
      </c>
      <c r="D231" s="57">
        <f t="shared" si="9"/>
        <v>1.5282800790798221</v>
      </c>
      <c r="E231" s="59" t="str">
        <f>IF(COUNTIF($D$6:D231,$D$6)&gt;1,"Do Not Copy","Copy")</f>
        <v>Copy</v>
      </c>
    </row>
    <row r="232" spans="1:5" x14ac:dyDescent="0.25">
      <c r="A232" s="14">
        <f t="shared" si="10"/>
        <v>0.78472222222221999</v>
      </c>
      <c r="B232" s="27">
        <f>INDEX('IDF Distributions'!$A$1:$AB$290,MATCH(Tool!$A232,'IDF Distributions'!$A$1:$A$290,0),MATCH(Tool!B$5,'IDF Distributions'!$A$1:$AB$1,0))*$I$6</f>
        <v>0.12735667325664554</v>
      </c>
      <c r="C232" s="24">
        <f t="shared" si="11"/>
        <v>49.983249030792045</v>
      </c>
      <c r="D232" s="57">
        <f t="shared" si="9"/>
        <v>1.5282800790797464</v>
      </c>
      <c r="E232" s="59" t="str">
        <f>IF(COUNTIF($D$6:D232,$D$6)&gt;1,"Do Not Copy","Copy")</f>
        <v>Copy</v>
      </c>
    </row>
    <row r="233" spans="1:5" x14ac:dyDescent="0.25">
      <c r="A233" s="14">
        <f t="shared" si="10"/>
        <v>0.7881944444444422</v>
      </c>
      <c r="B233" s="27">
        <f>INDEX('IDF Distributions'!$A$1:$AB$290,MATCH(Tool!$A233,'IDF Distributions'!$A$1:$A$290,0),MATCH(Tool!B$5,'IDF Distributions'!$A$1:$AB$1,0))*$I$6</f>
        <v>0.12546990772691766</v>
      </c>
      <c r="C233" s="24">
        <f t="shared" si="11"/>
        <v>50.108718938518962</v>
      </c>
      <c r="D233" s="57">
        <f t="shared" si="9"/>
        <v>1.5056388927230118</v>
      </c>
      <c r="E233" s="59" t="str">
        <f>IF(COUNTIF($D$6:D233,$D$6)&gt;1,"Do Not Copy","Copy")</f>
        <v>Copy</v>
      </c>
    </row>
    <row r="234" spans="1:5" x14ac:dyDescent="0.25">
      <c r="A234" s="14">
        <f t="shared" si="10"/>
        <v>0.79166666666666441</v>
      </c>
      <c r="B234" s="27">
        <f>INDEX('IDF Distributions'!$A$1:$AB$290,MATCH(Tool!$A234,'IDF Distributions'!$A$1:$A$290,0),MATCH(Tool!B$5,'IDF Distributions'!$A$1:$AB$1,0))*$I$6</f>
        <v>0.1226397594323258</v>
      </c>
      <c r="C234" s="24">
        <f t="shared" si="11"/>
        <v>50.231358697951286</v>
      </c>
      <c r="D234" s="57">
        <f t="shared" si="9"/>
        <v>1.4716771131879096</v>
      </c>
      <c r="E234" s="59" t="str">
        <f>IF(COUNTIF($D$6:D234,$D$6)&gt;1,"Do Not Copy","Copy")</f>
        <v>Copy</v>
      </c>
    </row>
    <row r="235" spans="1:5" x14ac:dyDescent="0.25">
      <c r="A235" s="14">
        <f t="shared" si="10"/>
        <v>0.79513888888888662</v>
      </c>
      <c r="B235" s="27">
        <f>INDEX('IDF Distributions'!$A$1:$AB$290,MATCH(Tool!$A235,'IDF Distributions'!$A$1:$A$290,0),MATCH(Tool!B$5,'IDF Distributions'!$A$1:$AB$1,0))*$I$6</f>
        <v>0.1226397594323258</v>
      </c>
      <c r="C235" s="24">
        <f t="shared" si="11"/>
        <v>50.353998457383611</v>
      </c>
      <c r="D235" s="57">
        <f t="shared" si="9"/>
        <v>1.4716771131879096</v>
      </c>
      <c r="E235" s="59" t="str">
        <f>IF(COUNTIF($D$6:D235,$D$6)&gt;1,"Do Not Copy","Copy")</f>
        <v>Copy</v>
      </c>
    </row>
    <row r="236" spans="1:5" x14ac:dyDescent="0.25">
      <c r="A236" s="14">
        <f t="shared" si="10"/>
        <v>0.79861111111110883</v>
      </c>
      <c r="B236" s="27">
        <f>INDEX('IDF Distributions'!$A$1:$AB$290,MATCH(Tool!$A236,'IDF Distributions'!$A$1:$A$290,0),MATCH(Tool!B$5,'IDF Distributions'!$A$1:$AB$1,0))*$I$6</f>
        <v>0.12735667325665184</v>
      </c>
      <c r="C236" s="24">
        <f t="shared" si="11"/>
        <v>50.48135513064026</v>
      </c>
      <c r="D236" s="57">
        <f t="shared" si="9"/>
        <v>1.5282800790798221</v>
      </c>
      <c r="E236" s="59" t="str">
        <f>IF(COUNTIF($D$6:D236,$D$6)&gt;1,"Do Not Copy","Copy")</f>
        <v>Copy</v>
      </c>
    </row>
    <row r="237" spans="1:5" x14ac:dyDescent="0.25">
      <c r="A237" s="14">
        <f t="shared" si="10"/>
        <v>0.80208333333333104</v>
      </c>
      <c r="B237" s="27">
        <f>INDEX('IDF Distributions'!$A$1:$AB$290,MATCH(Tool!$A237,'IDF Distributions'!$A$1:$A$290,0),MATCH(Tool!B$5,'IDF Distributions'!$A$1:$AB$1,0))*$I$6</f>
        <v>0.12358314219718976</v>
      </c>
      <c r="C237" s="24">
        <f t="shared" si="11"/>
        <v>50.604938272837451</v>
      </c>
      <c r="D237" s="57">
        <f t="shared" si="9"/>
        <v>1.4829977063662771</v>
      </c>
      <c r="E237" s="59" t="str">
        <f>IF(COUNTIF($D$6:D237,$D$6)&gt;1,"Do Not Copy","Copy")</f>
        <v>Copy</v>
      </c>
    </row>
    <row r="238" spans="1:5" x14ac:dyDescent="0.25">
      <c r="A238" s="14">
        <f t="shared" si="10"/>
        <v>0.80555555555555325</v>
      </c>
      <c r="B238" s="27">
        <f>INDEX('IDF Distributions'!$A$1:$AB$290,MATCH(Tool!$A238,'IDF Distributions'!$A$1:$A$290,0),MATCH(Tool!B$5,'IDF Distributions'!$A$1:$AB$1,0))*$I$6</f>
        <v>0.11980961113773396</v>
      </c>
      <c r="C238" s="24">
        <f t="shared" si="11"/>
        <v>50.724747883975184</v>
      </c>
      <c r="D238" s="57">
        <f t="shared" si="9"/>
        <v>1.4377153336528075</v>
      </c>
      <c r="E238" s="59" t="str">
        <f>IF(COUNTIF($D$6:D238,$D$6)&gt;1,"Do Not Copy","Copy")</f>
        <v>Copy</v>
      </c>
    </row>
    <row r="239" spans="1:5" x14ac:dyDescent="0.25">
      <c r="A239" s="14">
        <f t="shared" si="10"/>
        <v>0.80902777777777546</v>
      </c>
      <c r="B239" s="27">
        <f>INDEX('IDF Distributions'!$A$1:$AB$290,MATCH(Tool!$A239,'IDF Distributions'!$A$1:$A$290,0),MATCH(Tool!B$5,'IDF Distributions'!$A$1:$AB$1,0))*$I$6</f>
        <v>0.11980961113773396</v>
      </c>
      <c r="C239" s="24">
        <f t="shared" si="11"/>
        <v>50.844557495112916</v>
      </c>
      <c r="D239" s="57">
        <f t="shared" si="9"/>
        <v>1.4377153336528075</v>
      </c>
      <c r="E239" s="59" t="str">
        <f>IF(COUNTIF($D$6:D239,$D$6)&gt;1,"Do Not Copy","Copy")</f>
        <v>Copy</v>
      </c>
    </row>
    <row r="240" spans="1:5" x14ac:dyDescent="0.25">
      <c r="A240" s="14">
        <f t="shared" si="10"/>
        <v>0.81249999999999767</v>
      </c>
      <c r="B240" s="27">
        <f>INDEX('IDF Distributions'!$A$1:$AB$290,MATCH(Tool!$A240,'IDF Distributions'!$A$1:$A$290,0),MATCH(Tool!B$5,'IDF Distributions'!$A$1:$AB$1,0))*$I$6</f>
        <v>0.1226397594323258</v>
      </c>
      <c r="C240" s="24">
        <f t="shared" si="11"/>
        <v>50.967197254545241</v>
      </c>
      <c r="D240" s="57">
        <f t="shared" si="9"/>
        <v>1.4716771131879096</v>
      </c>
      <c r="E240" s="59" t="str">
        <f>IF(COUNTIF($D$6:D240,$D$6)&gt;1,"Do Not Copy","Copy")</f>
        <v>Copy</v>
      </c>
    </row>
    <row r="241" spans="1:5" x14ac:dyDescent="0.25">
      <c r="A241" s="14">
        <f t="shared" si="10"/>
        <v>0.81597222222221988</v>
      </c>
      <c r="B241" s="27">
        <f>INDEX('IDF Distributions'!$A$1:$AB$290,MATCH(Tool!$A241,'IDF Distributions'!$A$1:$A$290,0),MATCH(Tool!B$5,'IDF Distributions'!$A$1:$AB$1,0))*$I$6</f>
        <v>0.1226397594323258</v>
      </c>
      <c r="C241" s="24">
        <f t="shared" si="11"/>
        <v>51.089837013977565</v>
      </c>
      <c r="D241" s="57">
        <f t="shared" si="9"/>
        <v>1.4716771131879096</v>
      </c>
      <c r="E241" s="59" t="str">
        <f>IF(COUNTIF($D$6:D241,$D$6)&gt;1,"Do Not Copy","Copy")</f>
        <v>Copy</v>
      </c>
    </row>
    <row r="242" spans="1:5" x14ac:dyDescent="0.25">
      <c r="A242" s="14">
        <f t="shared" si="10"/>
        <v>0.81944444444444209</v>
      </c>
      <c r="B242" s="27">
        <f>INDEX('IDF Distributions'!$A$1:$AB$290,MATCH(Tool!$A242,'IDF Distributions'!$A$1:$A$290,0),MATCH(Tool!B$5,'IDF Distributions'!$A$1:$AB$1,0))*$I$6</f>
        <v>0.11792284560800606</v>
      </c>
      <c r="C242" s="24">
        <f t="shared" si="11"/>
        <v>51.207759859585572</v>
      </c>
      <c r="D242" s="57">
        <f t="shared" si="9"/>
        <v>1.4150741472960728</v>
      </c>
      <c r="E242" s="59" t="str">
        <f>IF(COUNTIF($D$6:D242,$D$6)&gt;1,"Do Not Copy","Copy")</f>
        <v>Copy</v>
      </c>
    </row>
    <row r="243" spans="1:5" x14ac:dyDescent="0.25">
      <c r="A243" s="14">
        <f t="shared" si="10"/>
        <v>0.8229166666666643</v>
      </c>
      <c r="B243" s="27">
        <f>INDEX('IDF Distributions'!$A$1:$AB$290,MATCH(Tool!$A243,'IDF Distributions'!$A$1:$A$290,0),MATCH(Tool!B$5,'IDF Distributions'!$A$1:$AB$1,0))*$I$6</f>
        <v>0.11792284560800606</v>
      </c>
      <c r="C243" s="24">
        <f t="shared" si="11"/>
        <v>51.325682705193579</v>
      </c>
      <c r="D243" s="57">
        <f t="shared" si="9"/>
        <v>1.4150741472960728</v>
      </c>
      <c r="E243" s="59" t="str">
        <f>IF(COUNTIF($D$6:D243,$D$6)&gt;1,"Do Not Copy","Copy")</f>
        <v>Copy</v>
      </c>
    </row>
    <row r="244" spans="1:5" x14ac:dyDescent="0.25">
      <c r="A244" s="14">
        <f t="shared" si="10"/>
        <v>0.82638888888888651</v>
      </c>
      <c r="B244" s="27">
        <f>INDEX('IDF Distributions'!$A$1:$AB$290,MATCH(Tool!$A244,'IDF Distributions'!$A$1:$A$290,0),MATCH(Tool!B$5,'IDF Distributions'!$A$1:$AB$1,0))*$I$6</f>
        <v>0.11792284560800606</v>
      </c>
      <c r="C244" s="24">
        <f t="shared" si="11"/>
        <v>51.443605550801585</v>
      </c>
      <c r="D244" s="57">
        <f t="shared" si="9"/>
        <v>1.4150741472960728</v>
      </c>
      <c r="E244" s="59" t="str">
        <f>IF(COUNTIF($D$6:D244,$D$6)&gt;1,"Do Not Copy","Copy")</f>
        <v>Copy</v>
      </c>
    </row>
    <row r="245" spans="1:5" x14ac:dyDescent="0.25">
      <c r="A245" s="14">
        <f t="shared" si="10"/>
        <v>0.82986111111110872</v>
      </c>
      <c r="B245" s="27">
        <f>INDEX('IDF Distributions'!$A$1:$AB$290,MATCH(Tool!$A245,'IDF Distributions'!$A$1:$A$290,0),MATCH(Tool!B$5,'IDF Distributions'!$A$1:$AB$1,0))*$I$6</f>
        <v>0.11792284560801235</v>
      </c>
      <c r="C245" s="24">
        <f t="shared" si="11"/>
        <v>51.561528396409599</v>
      </c>
      <c r="D245" s="57">
        <f t="shared" si="9"/>
        <v>1.4150741472961481</v>
      </c>
      <c r="E245" s="59" t="str">
        <f>IF(COUNTIF($D$6:D245,$D$6)&gt;1,"Do Not Copy","Copy")</f>
        <v>Copy</v>
      </c>
    </row>
    <row r="246" spans="1:5" x14ac:dyDescent="0.25">
      <c r="A246" s="14">
        <f t="shared" si="10"/>
        <v>0.83333333333333093</v>
      </c>
      <c r="B246" s="27">
        <f>INDEX('IDF Distributions'!$A$1:$AB$290,MATCH(Tool!$A246,'IDF Distributions'!$A$1:$A$290,0),MATCH(Tool!B$5,'IDF Distributions'!$A$1:$AB$1,0))*$I$6</f>
        <v>0.11792284560799979</v>
      </c>
      <c r="C246" s="24">
        <f t="shared" si="11"/>
        <v>51.679451242017599</v>
      </c>
      <c r="D246" s="57">
        <f t="shared" si="9"/>
        <v>1.4150741472959973</v>
      </c>
      <c r="E246" s="59" t="str">
        <f>IF(COUNTIF($D$6:D246,$D$6)&gt;1,"Do Not Copy","Copy")</f>
        <v>Copy</v>
      </c>
    </row>
    <row r="247" spans="1:5" x14ac:dyDescent="0.25">
      <c r="A247" s="14">
        <f t="shared" si="10"/>
        <v>0.83680555555555314</v>
      </c>
      <c r="B247" s="27">
        <f>INDEX('IDF Distributions'!$A$1:$AB$290,MATCH(Tool!$A247,'IDF Distributions'!$A$1:$A$290,0),MATCH(Tool!B$5,'IDF Distributions'!$A$1:$AB$1,0))*$I$6</f>
        <v>0.11792284560801235</v>
      </c>
      <c r="C247" s="24">
        <f t="shared" si="11"/>
        <v>51.797374087625613</v>
      </c>
      <c r="D247" s="57">
        <f t="shared" si="9"/>
        <v>1.4150741472961481</v>
      </c>
      <c r="E247" s="59" t="str">
        <f>IF(COUNTIF($D$6:D247,$D$6)&gt;1,"Do Not Copy","Copy")</f>
        <v>Copy</v>
      </c>
    </row>
    <row r="248" spans="1:5" x14ac:dyDescent="0.25">
      <c r="A248" s="14">
        <f t="shared" si="10"/>
        <v>0.84027777777777535</v>
      </c>
      <c r="B248" s="27">
        <f>INDEX('IDF Distributions'!$A$1:$AB$290,MATCH(Tool!$A248,'IDF Distributions'!$A$1:$A$290,0),MATCH(Tool!B$5,'IDF Distributions'!$A$1:$AB$1,0))*$I$6</f>
        <v>0.11792284560800606</v>
      </c>
      <c r="C248" s="24">
        <f t="shared" si="11"/>
        <v>51.91529693323362</v>
      </c>
      <c r="D248" s="57">
        <f t="shared" si="9"/>
        <v>1.4150741472960728</v>
      </c>
      <c r="E248" s="59" t="str">
        <f>IF(COUNTIF($D$6:D248,$D$6)&gt;1,"Do Not Copy","Copy")</f>
        <v>Copy</v>
      </c>
    </row>
    <row r="249" spans="1:5" x14ac:dyDescent="0.25">
      <c r="A249" s="14">
        <f t="shared" si="10"/>
        <v>0.84374999999999756</v>
      </c>
      <c r="B249" s="27">
        <f>INDEX('IDF Distributions'!$A$1:$AB$290,MATCH(Tool!$A249,'IDF Distributions'!$A$1:$A$290,0),MATCH(Tool!B$5,'IDF Distributions'!$A$1:$AB$1,0))*$I$6</f>
        <v>0.11414931454855028</v>
      </c>
      <c r="C249" s="24">
        <f t="shared" si="11"/>
        <v>52.029446247782168</v>
      </c>
      <c r="D249" s="57">
        <f t="shared" si="9"/>
        <v>1.3697917745826034</v>
      </c>
      <c r="E249" s="59" t="str">
        <f>IF(COUNTIF($D$6:D249,$D$6)&gt;1,"Do Not Copy","Copy")</f>
        <v>Copy</v>
      </c>
    </row>
    <row r="250" spans="1:5" x14ac:dyDescent="0.25">
      <c r="A250" s="14">
        <f t="shared" si="10"/>
        <v>0.84722222222221977</v>
      </c>
      <c r="B250" s="27">
        <f>INDEX('IDF Distributions'!$A$1:$AB$290,MATCH(Tool!$A250,'IDF Distributions'!$A$1:$A$290,0),MATCH(Tool!B$5,'IDF Distributions'!$A$1:$AB$1,0))*$I$6</f>
        <v>0.11603608007827818</v>
      </c>
      <c r="C250" s="24">
        <f t="shared" si="11"/>
        <v>52.145482327860449</v>
      </c>
      <c r="D250" s="57">
        <f t="shared" si="9"/>
        <v>1.3924329609393382</v>
      </c>
      <c r="E250" s="59" t="str">
        <f>IF(COUNTIF($D$6:D250,$D$6)&gt;1,"Do Not Copy","Copy")</f>
        <v>Copy</v>
      </c>
    </row>
    <row r="251" spans="1:5" x14ac:dyDescent="0.25">
      <c r="A251" s="14">
        <f t="shared" si="10"/>
        <v>0.85069444444444198</v>
      </c>
      <c r="B251" s="27">
        <f>INDEX('IDF Distributions'!$A$1:$AB$290,MATCH(Tool!$A251,'IDF Distributions'!$A$1:$A$290,0),MATCH(Tool!B$5,'IDF Distributions'!$A$1:$AB$1,0))*$I$6</f>
        <v>0.11603608007827818</v>
      </c>
      <c r="C251" s="24">
        <f t="shared" si="11"/>
        <v>52.26151840793873</v>
      </c>
      <c r="D251" s="57">
        <f t="shared" si="9"/>
        <v>1.3924329609393382</v>
      </c>
      <c r="E251" s="59" t="str">
        <f>IF(COUNTIF($D$6:D251,$D$6)&gt;1,"Do Not Copy","Copy")</f>
        <v>Copy</v>
      </c>
    </row>
    <row r="252" spans="1:5" x14ac:dyDescent="0.25">
      <c r="A252" s="14">
        <f t="shared" si="10"/>
        <v>0.85416666666666419</v>
      </c>
      <c r="B252" s="27">
        <f>INDEX('IDF Distributions'!$A$1:$AB$290,MATCH(Tool!$A252,'IDF Distributions'!$A$1:$A$290,0),MATCH(Tool!B$5,'IDF Distributions'!$A$1:$AB$1,0))*$I$6</f>
        <v>0.11320593178368632</v>
      </c>
      <c r="C252" s="24">
        <f t="shared" si="11"/>
        <v>52.37472433972242</v>
      </c>
      <c r="D252" s="57">
        <f t="shared" si="9"/>
        <v>1.3584711814042358</v>
      </c>
      <c r="E252" s="59" t="str">
        <f>IF(COUNTIF($D$6:D252,$D$6)&gt;1,"Do Not Copy","Copy")</f>
        <v>Copy</v>
      </c>
    </row>
    <row r="253" spans="1:5" x14ac:dyDescent="0.25">
      <c r="A253" s="14">
        <f t="shared" si="10"/>
        <v>0.8576388888888864</v>
      </c>
      <c r="B253" s="27">
        <f>INDEX('IDF Distributions'!$A$1:$AB$290,MATCH(Tool!$A253,'IDF Distributions'!$A$1:$A$290,0),MATCH(Tool!B$5,'IDF Distributions'!$A$1:$AB$1,0))*$I$6</f>
        <v>0.11320593178368632</v>
      </c>
      <c r="C253" s="24">
        <f t="shared" si="11"/>
        <v>52.487930271506109</v>
      </c>
      <c r="D253" s="57">
        <f t="shared" si="9"/>
        <v>1.3584711814042358</v>
      </c>
      <c r="E253" s="59" t="str">
        <f>IF(COUNTIF($D$6:D253,$D$6)&gt;1,"Do Not Copy","Copy")</f>
        <v>Copy</v>
      </c>
    </row>
    <row r="254" spans="1:5" x14ac:dyDescent="0.25">
      <c r="A254" s="14">
        <f t="shared" si="10"/>
        <v>0.86111111111110861</v>
      </c>
      <c r="B254" s="27">
        <f>INDEX('IDF Distributions'!$A$1:$AB$290,MATCH(Tool!$A254,'IDF Distributions'!$A$1:$A$290,0),MATCH(Tool!B$5,'IDF Distributions'!$A$1:$AB$1,0))*$I$6</f>
        <v>0.11320593178368632</v>
      </c>
      <c r="C254" s="24">
        <f t="shared" si="11"/>
        <v>52.601136203289798</v>
      </c>
      <c r="D254" s="57">
        <f t="shared" si="9"/>
        <v>1.3584711814042358</v>
      </c>
      <c r="E254" s="59" t="str">
        <f>IF(COUNTIF($D$6:D254,$D$6)&gt;1,"Do Not Copy","Copy")</f>
        <v>Copy</v>
      </c>
    </row>
    <row r="255" spans="1:5" x14ac:dyDescent="0.25">
      <c r="A255" s="14">
        <f t="shared" si="10"/>
        <v>0.86458333333333082</v>
      </c>
      <c r="B255" s="27">
        <f>INDEX('IDF Distributions'!$A$1:$AB$290,MATCH(Tool!$A255,'IDF Distributions'!$A$1:$A$290,0),MATCH(Tool!B$5,'IDF Distributions'!$A$1:$AB$1,0))*$I$6</f>
        <v>0.11320593178368632</v>
      </c>
      <c r="C255" s="24">
        <f t="shared" si="11"/>
        <v>52.714342135073487</v>
      </c>
      <c r="D255" s="57">
        <f t="shared" si="9"/>
        <v>1.3584711814042358</v>
      </c>
      <c r="E255" s="59" t="str">
        <f>IF(COUNTIF($D$6:D255,$D$6)&gt;1,"Do Not Copy","Copy")</f>
        <v>Copy</v>
      </c>
    </row>
    <row r="256" spans="1:5" x14ac:dyDescent="0.25">
      <c r="A256" s="14">
        <f t="shared" si="10"/>
        <v>0.86805555555555303</v>
      </c>
      <c r="B256" s="27">
        <f>INDEX('IDF Distributions'!$A$1:$AB$290,MATCH(Tool!$A256,'IDF Distributions'!$A$1:$A$290,0),MATCH(Tool!B$5,'IDF Distributions'!$A$1:$AB$1,0))*$I$6</f>
        <v>0.11037578348909448</v>
      </c>
      <c r="C256" s="24">
        <f t="shared" si="11"/>
        <v>52.824717918562584</v>
      </c>
      <c r="D256" s="57">
        <f t="shared" si="9"/>
        <v>1.3245094018691337</v>
      </c>
      <c r="E256" s="59" t="str">
        <f>IF(COUNTIF($D$6:D256,$D$6)&gt;1,"Do Not Copy","Copy")</f>
        <v>Copy</v>
      </c>
    </row>
    <row r="257" spans="1:5" x14ac:dyDescent="0.25">
      <c r="A257" s="14">
        <f t="shared" si="10"/>
        <v>0.87152777777777524</v>
      </c>
      <c r="B257" s="27">
        <f>INDEX('IDF Distributions'!$A$1:$AB$290,MATCH(Tool!$A257,'IDF Distributions'!$A$1:$A$290,0),MATCH(Tool!B$5,'IDF Distributions'!$A$1:$AB$1,0))*$I$6</f>
        <v>0.11037578348909448</v>
      </c>
      <c r="C257" s="24">
        <f t="shared" si="11"/>
        <v>52.935093702051681</v>
      </c>
      <c r="D257" s="57">
        <f t="shared" si="9"/>
        <v>1.3245094018691337</v>
      </c>
      <c r="E257" s="59" t="str">
        <f>IF(COUNTIF($D$6:D257,$D$6)&gt;1,"Do Not Copy","Copy")</f>
        <v>Copy</v>
      </c>
    </row>
    <row r="258" spans="1:5" x14ac:dyDescent="0.25">
      <c r="A258" s="14">
        <f t="shared" si="10"/>
        <v>0.87499999999999745</v>
      </c>
      <c r="B258" s="27">
        <f>INDEX('IDF Distributions'!$A$1:$AB$290,MATCH(Tool!$A258,'IDF Distributions'!$A$1:$A$290,0),MATCH(Tool!B$5,'IDF Distributions'!$A$1:$AB$1,0))*$I$6</f>
        <v>0.11226254901881609</v>
      </c>
      <c r="C258" s="24">
        <f t="shared" si="11"/>
        <v>53.047356251070497</v>
      </c>
      <c r="D258" s="57">
        <f t="shared" si="9"/>
        <v>1.347150588225793</v>
      </c>
      <c r="E258" s="59" t="str">
        <f>IF(COUNTIF($D$6:D258,$D$6)&gt;1,"Do Not Copy","Copy")</f>
        <v>Copy</v>
      </c>
    </row>
    <row r="259" spans="1:5" x14ac:dyDescent="0.25">
      <c r="A259" s="14">
        <f t="shared" si="10"/>
        <v>0.87847222222221966</v>
      </c>
      <c r="B259" s="27">
        <f>INDEX('IDF Distributions'!$A$1:$AB$290,MATCH(Tool!$A259,'IDF Distributions'!$A$1:$A$290,0),MATCH(Tool!B$5,'IDF Distributions'!$A$1:$AB$1,0))*$I$6</f>
        <v>0.10848901795937287</v>
      </c>
      <c r="C259" s="24">
        <f t="shared" si="11"/>
        <v>53.155845269029868</v>
      </c>
      <c r="D259" s="57">
        <f t="shared" si="9"/>
        <v>1.3018682155124743</v>
      </c>
      <c r="E259" s="59" t="str">
        <f>IF(COUNTIF($D$6:D259,$D$6)&gt;1,"Do Not Copy","Copy")</f>
        <v>Copy</v>
      </c>
    </row>
    <row r="260" spans="1:5" x14ac:dyDescent="0.25">
      <c r="A260" s="14">
        <f t="shared" si="10"/>
        <v>0.88194444444444187</v>
      </c>
      <c r="B260" s="27">
        <f>INDEX('IDF Distributions'!$A$1:$AB$290,MATCH(Tool!$A260,'IDF Distributions'!$A$1:$A$290,0),MATCH(Tool!B$5,'IDF Distributions'!$A$1:$AB$1,0))*$I$6</f>
        <v>0.10848901795936658</v>
      </c>
      <c r="C260" s="24">
        <f t="shared" si="11"/>
        <v>53.264334286989232</v>
      </c>
      <c r="D260" s="57">
        <f t="shared" si="9"/>
        <v>1.3018682155123988</v>
      </c>
      <c r="E260" s="59" t="str">
        <f>IF(COUNTIF($D$6:D260,$D$6)&gt;1,"Do Not Copy","Copy")</f>
        <v>Copy</v>
      </c>
    </row>
    <row r="261" spans="1:5" x14ac:dyDescent="0.25">
      <c r="A261" s="14">
        <f t="shared" si="10"/>
        <v>0.88541666666666408</v>
      </c>
      <c r="B261" s="27">
        <f>INDEX('IDF Distributions'!$A$1:$AB$290,MATCH(Tool!$A261,'IDF Distributions'!$A$1:$A$290,0),MATCH(Tool!B$5,'IDF Distributions'!$A$1:$AB$1,0))*$I$6</f>
        <v>0.10848901795936031</v>
      </c>
      <c r="C261" s="24">
        <f t="shared" si="11"/>
        <v>53.372823304948589</v>
      </c>
      <c r="D261" s="57">
        <f t="shared" si="9"/>
        <v>1.3018682155123238</v>
      </c>
      <c r="E261" s="59" t="str">
        <f>IF(COUNTIF($D$6:D261,$D$6)&gt;1,"Do Not Copy","Copy")</f>
        <v>Copy</v>
      </c>
    </row>
    <row r="262" spans="1:5" x14ac:dyDescent="0.25">
      <c r="A262" s="14">
        <f t="shared" si="10"/>
        <v>0.88888888888888629</v>
      </c>
      <c r="B262" s="27">
        <f>INDEX('IDF Distributions'!$A$1:$AB$290,MATCH(Tool!$A262,'IDF Distributions'!$A$1:$A$290,0),MATCH(Tool!B$5,'IDF Distributions'!$A$1:$AB$1,0))*$I$6</f>
        <v>0.10848901795936658</v>
      </c>
      <c r="C262" s="24">
        <f t="shared" si="11"/>
        <v>53.481312322907954</v>
      </c>
      <c r="D262" s="57">
        <f t="shared" si="9"/>
        <v>1.3018682155123988</v>
      </c>
      <c r="E262" s="59" t="str">
        <f>IF(COUNTIF($D$6:D262,$D$6)&gt;1,"Do Not Copy","Copy")</f>
        <v>Copy</v>
      </c>
    </row>
    <row r="263" spans="1:5" x14ac:dyDescent="0.25">
      <c r="A263" s="14">
        <f t="shared" si="10"/>
        <v>0.8923611111111085</v>
      </c>
      <c r="B263" s="27">
        <f>INDEX('IDF Distributions'!$A$1:$AB$290,MATCH(Tool!$A263,'IDF Distributions'!$A$1:$A$290,0),MATCH(Tool!B$5,'IDF Distributions'!$A$1:$AB$1,0))*$I$6</f>
        <v>0.10660225242963869</v>
      </c>
      <c r="C263" s="24">
        <f t="shared" si="11"/>
        <v>53.587914575337592</v>
      </c>
      <c r="D263" s="57">
        <f t="shared" ref="D263:D294" si="12">B263*12</f>
        <v>1.2792270291556642</v>
      </c>
      <c r="E263" s="59" t="str">
        <f>IF(COUNTIF($D$6:D263,$D$6)&gt;1,"Do Not Copy","Copy")</f>
        <v>Copy</v>
      </c>
    </row>
    <row r="264" spans="1:5" x14ac:dyDescent="0.25">
      <c r="A264" s="14">
        <f t="shared" ref="A264:A294" si="13">A263+TIME(0,5,0)</f>
        <v>0.89583333333333071</v>
      </c>
      <c r="B264" s="27">
        <f>INDEX('IDF Distributions'!$A$1:$AB$290,MATCH(Tool!$A264,'IDF Distributions'!$A$1:$A$290,0),MATCH(Tool!B$5,'IDF Distributions'!$A$1:$AB$1,0))*$I$6</f>
        <v>0.1047154868999108</v>
      </c>
      <c r="C264" s="24">
        <f t="shared" ref="C264:C294" si="14">B264+C263</f>
        <v>53.692630062237505</v>
      </c>
      <c r="D264" s="57">
        <f t="shared" si="12"/>
        <v>1.2565858427989296</v>
      </c>
      <c r="E264" s="59" t="str">
        <f>IF(COUNTIF($D$6:D264,$D$6)&gt;1,"Do Not Copy","Copy")</f>
        <v>Copy</v>
      </c>
    </row>
    <row r="265" spans="1:5" x14ac:dyDescent="0.25">
      <c r="A265" s="14">
        <f t="shared" si="13"/>
        <v>0.89930555555555292</v>
      </c>
      <c r="B265" s="27">
        <f>INDEX('IDF Distributions'!$A$1:$AB$290,MATCH(Tool!$A265,'IDF Distributions'!$A$1:$A$290,0),MATCH(Tool!B$5,'IDF Distributions'!$A$1:$AB$1,0))*$I$6</f>
        <v>0.10848901795936658</v>
      </c>
      <c r="C265" s="24">
        <f t="shared" si="14"/>
        <v>53.80111908019687</v>
      </c>
      <c r="D265" s="57">
        <f t="shared" si="12"/>
        <v>1.3018682155123988</v>
      </c>
      <c r="E265" s="59" t="str">
        <f>IF(COUNTIF($D$6:D265,$D$6)&gt;1,"Do Not Copy","Copy")</f>
        <v>Copy</v>
      </c>
    </row>
    <row r="266" spans="1:5" x14ac:dyDescent="0.25">
      <c r="A266" s="14">
        <f t="shared" si="13"/>
        <v>0.90277777777777513</v>
      </c>
      <c r="B266" s="27">
        <f>INDEX('IDF Distributions'!$A$1:$AB$290,MATCH(Tool!$A266,'IDF Distributions'!$A$1:$A$290,0),MATCH(Tool!B$5,'IDF Distributions'!$A$1:$AB$1,0))*$I$6</f>
        <v>0.10377210413504685</v>
      </c>
      <c r="C266" s="24">
        <f t="shared" si="14"/>
        <v>53.904891184331916</v>
      </c>
      <c r="D266" s="57">
        <f t="shared" si="12"/>
        <v>1.2452652496205623</v>
      </c>
      <c r="E266" s="59" t="str">
        <f>IF(COUNTIF($D$6:D266,$D$6)&gt;1,"Do Not Copy","Copy")</f>
        <v>Copy</v>
      </c>
    </row>
    <row r="267" spans="1:5" x14ac:dyDescent="0.25">
      <c r="A267" s="14">
        <f t="shared" si="13"/>
        <v>0.90624999999999734</v>
      </c>
      <c r="B267" s="27">
        <f>INDEX('IDF Distributions'!$A$1:$AB$290,MATCH(Tool!$A267,'IDF Distributions'!$A$1:$A$290,0),MATCH(Tool!B$5,'IDF Distributions'!$A$1:$AB$1,0))*$I$6</f>
        <v>0.10754563519449635</v>
      </c>
      <c r="C267" s="24">
        <f t="shared" si="14"/>
        <v>54.012436819526414</v>
      </c>
      <c r="D267" s="57">
        <f t="shared" si="12"/>
        <v>1.2905476223339563</v>
      </c>
      <c r="E267" s="59" t="str">
        <f>IF(COUNTIF($D$6:D267,$D$6)&gt;1,"Do Not Copy","Copy")</f>
        <v>Copy</v>
      </c>
    </row>
    <row r="268" spans="1:5" x14ac:dyDescent="0.25">
      <c r="A268" s="14">
        <f t="shared" si="13"/>
        <v>0.90972222222221955</v>
      </c>
      <c r="B268" s="27">
        <f>INDEX('IDF Distributions'!$A$1:$AB$290,MATCH(Tool!$A268,'IDF Distributions'!$A$1:$A$290,0),MATCH(Tool!B$5,'IDF Distributions'!$A$1:$AB$1,0))*$I$6</f>
        <v>0.10565886966477474</v>
      </c>
      <c r="C268" s="24">
        <f t="shared" si="14"/>
        <v>54.118095689191186</v>
      </c>
      <c r="D268" s="57">
        <f t="shared" si="12"/>
        <v>1.2679064359772969</v>
      </c>
      <c r="E268" s="59" t="str">
        <f>IF(COUNTIF($D$6:D268,$D$6)&gt;1,"Do Not Copy","Copy")</f>
        <v>Copy</v>
      </c>
    </row>
    <row r="269" spans="1:5" x14ac:dyDescent="0.25">
      <c r="A269" s="14">
        <f t="shared" si="13"/>
        <v>0.91319444444444176</v>
      </c>
      <c r="B269" s="27">
        <f>INDEX('IDF Distributions'!$A$1:$AB$290,MATCH(Tool!$A269,'IDF Distributions'!$A$1:$A$290,0),MATCH(Tool!B$5,'IDF Distributions'!$A$1:$AB$1,0))*$I$6</f>
        <v>0.10377210413505313</v>
      </c>
      <c r="C269" s="24">
        <f t="shared" si="14"/>
        <v>54.22186779332624</v>
      </c>
      <c r="D269" s="57">
        <f t="shared" si="12"/>
        <v>1.2452652496206376</v>
      </c>
      <c r="E269" s="59" t="str">
        <f>IF(COUNTIF($D$6:D269,$D$6)&gt;1,"Do Not Copy","Copy")</f>
        <v>Copy</v>
      </c>
    </row>
    <row r="270" spans="1:5" x14ac:dyDescent="0.25">
      <c r="A270" s="14">
        <f t="shared" si="13"/>
        <v>0.91666666666666397</v>
      </c>
      <c r="B270" s="27">
        <f>INDEX('IDF Distributions'!$A$1:$AB$290,MATCH(Tool!$A270,'IDF Distributions'!$A$1:$A$290,0),MATCH(Tool!B$5,'IDF Distributions'!$A$1:$AB$1,0))*$I$6</f>
        <v>0.10282872137017661</v>
      </c>
      <c r="C270" s="24">
        <f t="shared" si="14"/>
        <v>54.324696514696413</v>
      </c>
      <c r="D270" s="57">
        <f t="shared" si="12"/>
        <v>1.2339446564421193</v>
      </c>
      <c r="E270" s="59" t="str">
        <f>IF(COUNTIF($D$6:D270,$D$6)&gt;1,"Do Not Copy","Copy")</f>
        <v>Copy</v>
      </c>
    </row>
    <row r="271" spans="1:5" x14ac:dyDescent="0.25">
      <c r="A271" s="14">
        <f t="shared" si="13"/>
        <v>0.92013888888888618</v>
      </c>
      <c r="B271" s="27">
        <f>INDEX('IDF Distributions'!$A$1:$AB$290,MATCH(Tool!$A271,'IDF Distributions'!$A$1:$A$290,0),MATCH(Tool!B$5,'IDF Distributions'!$A$1:$AB$1,0))*$I$6</f>
        <v>9.9055190310727112E-2</v>
      </c>
      <c r="C271" s="24">
        <f t="shared" si="14"/>
        <v>54.423751705007142</v>
      </c>
      <c r="D271" s="57">
        <f t="shared" si="12"/>
        <v>1.1886622837287253</v>
      </c>
      <c r="E271" s="59" t="str">
        <f>IF(COUNTIF($D$6:D271,$D$6)&gt;1,"Do Not Copy","Copy")</f>
        <v>Copy</v>
      </c>
    </row>
    <row r="272" spans="1:5" x14ac:dyDescent="0.25">
      <c r="A272" s="14">
        <f t="shared" si="13"/>
        <v>0.92361111111110838</v>
      </c>
      <c r="B272" s="27">
        <f>INDEX('IDF Distributions'!$A$1:$AB$290,MATCH(Tool!$A272,'IDF Distributions'!$A$1:$A$290,0),MATCH(Tool!B$5,'IDF Distributions'!$A$1:$AB$1,0))*$I$6</f>
        <v>0.10377210413504685</v>
      </c>
      <c r="C272" s="24">
        <f t="shared" si="14"/>
        <v>54.527523809142188</v>
      </c>
      <c r="D272" s="57">
        <f t="shared" si="12"/>
        <v>1.2452652496205623</v>
      </c>
      <c r="E272" s="59" t="str">
        <f>IF(COUNTIF($D$6:D272,$D$6)&gt;1,"Do Not Copy","Copy")</f>
        <v>Copy</v>
      </c>
    </row>
    <row r="273" spans="1:5" x14ac:dyDescent="0.25">
      <c r="A273" s="14">
        <f t="shared" si="13"/>
        <v>0.92708333333333059</v>
      </c>
      <c r="B273" s="27">
        <f>INDEX('IDF Distributions'!$A$1:$AB$290,MATCH(Tool!$A273,'IDF Distributions'!$A$1:$A$290,0),MATCH(Tool!B$5,'IDF Distributions'!$A$1:$AB$1,0))*$I$6</f>
        <v>9.9998573075584768E-2</v>
      </c>
      <c r="C273" s="24">
        <f t="shared" si="14"/>
        <v>54.627522382217776</v>
      </c>
      <c r="D273" s="57">
        <f t="shared" si="12"/>
        <v>1.1999828769070171</v>
      </c>
      <c r="E273" s="59" t="str">
        <f>IF(COUNTIF($D$6:D273,$D$6)&gt;1,"Do Not Copy","Copy")</f>
        <v>Copy</v>
      </c>
    </row>
    <row r="274" spans="1:5" x14ac:dyDescent="0.25">
      <c r="A274" s="14">
        <f t="shared" si="13"/>
        <v>0.9305555555555528</v>
      </c>
      <c r="B274" s="27">
        <f>INDEX('IDF Distributions'!$A$1:$AB$290,MATCH(Tool!$A274,'IDF Distributions'!$A$1:$A$290,0),MATCH(Tool!B$5,'IDF Distributions'!$A$1:$AB$1,0))*$I$6</f>
        <v>0.10188533860531895</v>
      </c>
      <c r="C274" s="24">
        <f t="shared" si="14"/>
        <v>54.729407720823097</v>
      </c>
      <c r="D274" s="57">
        <f t="shared" si="12"/>
        <v>1.2226240632638274</v>
      </c>
      <c r="E274" s="59" t="str">
        <f>IF(COUNTIF($D$6:D274,$D$6)&gt;1,"Do Not Copy","Copy")</f>
        <v>Copy</v>
      </c>
    </row>
    <row r="275" spans="1:5" x14ac:dyDescent="0.25">
      <c r="A275" s="14">
        <f t="shared" si="13"/>
        <v>0.93402777777777501</v>
      </c>
      <c r="B275" s="27">
        <f>INDEX('IDF Distributions'!$A$1:$AB$290,MATCH(Tool!$A275,'IDF Distributions'!$A$1:$A$290,0),MATCH(Tool!B$5,'IDF Distributions'!$A$1:$AB$1,0))*$I$6</f>
        <v>0.10188533860531895</v>
      </c>
      <c r="C275" s="24">
        <f t="shared" si="14"/>
        <v>54.831293059428418</v>
      </c>
      <c r="D275" s="57">
        <f t="shared" si="12"/>
        <v>1.2226240632638274</v>
      </c>
      <c r="E275" s="59" t="str">
        <f>IF(COUNTIF($D$6:D275,$D$6)&gt;1,"Do Not Copy","Copy")</f>
        <v>Copy</v>
      </c>
    </row>
    <row r="276" spans="1:5" x14ac:dyDescent="0.25">
      <c r="A276" s="14">
        <f t="shared" si="13"/>
        <v>0.93749999999999722</v>
      </c>
      <c r="B276" s="27">
        <f>INDEX('IDF Distributions'!$A$1:$AB$290,MATCH(Tool!$A276,'IDF Distributions'!$A$1:$A$290,0),MATCH(Tool!B$5,'IDF Distributions'!$A$1:$AB$1,0))*$I$6</f>
        <v>9.9055190310720825E-2</v>
      </c>
      <c r="C276" s="24">
        <f t="shared" si="14"/>
        <v>54.93034824973914</v>
      </c>
      <c r="D276" s="57">
        <f t="shared" si="12"/>
        <v>1.1886622837286498</v>
      </c>
      <c r="E276" s="59" t="str">
        <f>IF(COUNTIF($D$6:D276,$D$6)&gt;1,"Do Not Copy","Copy")</f>
        <v>Copy</v>
      </c>
    </row>
    <row r="277" spans="1:5" x14ac:dyDescent="0.25">
      <c r="A277" s="14">
        <f t="shared" si="13"/>
        <v>0.94097222222221943</v>
      </c>
      <c r="B277" s="27">
        <f>INDEX('IDF Distributions'!$A$1:$AB$290,MATCH(Tool!$A277,'IDF Distributions'!$A$1:$A$290,0),MATCH(Tool!B$5,'IDF Distributions'!$A$1:$AB$1,0))*$I$6</f>
        <v>9.9055190310727112E-2</v>
      </c>
      <c r="C277" s="24">
        <f t="shared" si="14"/>
        <v>55.029403440049869</v>
      </c>
      <c r="D277" s="57">
        <f t="shared" si="12"/>
        <v>1.1886622837287253</v>
      </c>
      <c r="E277" s="59" t="str">
        <f>IF(COUNTIF($D$6:D277,$D$6)&gt;1,"Do Not Copy","Copy")</f>
        <v>Copy</v>
      </c>
    </row>
    <row r="278" spans="1:5" x14ac:dyDescent="0.25">
      <c r="A278" s="14">
        <f t="shared" si="13"/>
        <v>0.94444444444444164</v>
      </c>
      <c r="B278" s="27">
        <f>INDEX('IDF Distributions'!$A$1:$AB$290,MATCH(Tool!$A278,'IDF Distributions'!$A$1:$A$290,0),MATCH(Tool!B$5,'IDF Distributions'!$A$1:$AB$1,0))*$I$6</f>
        <v>9.9055190310733385E-2</v>
      </c>
      <c r="C278" s="24">
        <f t="shared" si="14"/>
        <v>55.128458630360605</v>
      </c>
      <c r="D278" s="57">
        <f t="shared" si="12"/>
        <v>1.1886622837288006</v>
      </c>
      <c r="E278" s="59" t="str">
        <f>IF(COUNTIF($D$6:D278,$D$6)&gt;1,"Do Not Copy","Copy")</f>
        <v>Copy</v>
      </c>
    </row>
    <row r="279" spans="1:5" x14ac:dyDescent="0.25">
      <c r="A279" s="14">
        <f t="shared" si="13"/>
        <v>0.94791666666666385</v>
      </c>
      <c r="B279" s="27">
        <f>INDEX('IDF Distributions'!$A$1:$AB$290,MATCH(Tool!$A279,'IDF Distributions'!$A$1:$A$290,0),MATCH(Tool!B$5,'IDF Distributions'!$A$1:$AB$1,0))*$I$6</f>
        <v>9.9055190310720825E-2</v>
      </c>
      <c r="C279" s="24">
        <f t="shared" si="14"/>
        <v>55.227513820671327</v>
      </c>
      <c r="D279" s="57">
        <f t="shared" si="12"/>
        <v>1.1886622837286498</v>
      </c>
      <c r="E279" s="59" t="str">
        <f>IF(COUNTIF($D$6:D279,$D$6)&gt;1,"Do Not Copy","Copy")</f>
        <v>Copy</v>
      </c>
    </row>
    <row r="280" spans="1:5" x14ac:dyDescent="0.25">
      <c r="A280" s="14">
        <f t="shared" si="13"/>
        <v>0.95138888888888606</v>
      </c>
      <c r="B280" s="27">
        <f>INDEX('IDF Distributions'!$A$1:$AB$290,MATCH(Tool!$A280,'IDF Distributions'!$A$1:$A$290,0),MATCH(Tool!B$5,'IDF Distributions'!$A$1:$AB$1,0))*$I$6</f>
        <v>9.6225042016135257E-2</v>
      </c>
      <c r="C280" s="24">
        <f t="shared" si="14"/>
        <v>55.323738862687463</v>
      </c>
      <c r="D280" s="57">
        <f t="shared" si="12"/>
        <v>1.1547005041936231</v>
      </c>
      <c r="E280" s="59" t="str">
        <f>IF(COUNTIF($D$6:D280,$D$6)&gt;1,"Do Not Copy","Copy")</f>
        <v>Copy</v>
      </c>
    </row>
    <row r="281" spans="1:5" x14ac:dyDescent="0.25">
      <c r="A281" s="14">
        <f t="shared" si="13"/>
        <v>0.95486111111110827</v>
      </c>
      <c r="B281" s="27">
        <f>INDEX('IDF Distributions'!$A$1:$AB$290,MATCH(Tool!$A281,'IDF Distributions'!$A$1:$A$290,0),MATCH(Tool!B$5,'IDF Distributions'!$A$1:$AB$1,0))*$I$6</f>
        <v>9.4338276486407371E-2</v>
      </c>
      <c r="C281" s="24">
        <f t="shared" si="14"/>
        <v>55.418077139173867</v>
      </c>
      <c r="D281" s="57">
        <f t="shared" si="12"/>
        <v>1.1320593178368885</v>
      </c>
      <c r="E281" s="59" t="str">
        <f>IF(COUNTIF($D$6:D281,$D$6)&gt;1,"Do Not Copy","Copy")</f>
        <v>Copy</v>
      </c>
    </row>
    <row r="282" spans="1:5" x14ac:dyDescent="0.25">
      <c r="A282" s="14">
        <f t="shared" si="13"/>
        <v>0.95833333333333048</v>
      </c>
      <c r="B282" s="27">
        <f>INDEX('IDF Distributions'!$A$1:$AB$290,MATCH(Tool!$A282,'IDF Distributions'!$A$1:$A$290,0),MATCH(Tool!B$5,'IDF Distributions'!$A$1:$AB$1,0))*$I$6</f>
        <v>9.5281659251265027E-2</v>
      </c>
      <c r="C282" s="24">
        <f t="shared" si="14"/>
        <v>55.513358798425131</v>
      </c>
      <c r="D282" s="57">
        <f t="shared" si="12"/>
        <v>1.1433799110151803</v>
      </c>
      <c r="E282" s="59" t="str">
        <f>IF(COUNTIF($D$6:D282,$D$6)&gt;1,"Do Not Copy","Copy")</f>
        <v>Copy</v>
      </c>
    </row>
    <row r="283" spans="1:5" x14ac:dyDescent="0.25">
      <c r="A283" s="14">
        <f t="shared" si="13"/>
        <v>0.96180555555555269</v>
      </c>
      <c r="B283" s="27">
        <f>INDEX('IDF Distributions'!$A$1:$AB$290,MATCH(Tool!$A283,'IDF Distributions'!$A$1:$A$290,0),MATCH(Tool!B$5,'IDF Distributions'!$A$1:$AB$1,0))*$I$6</f>
        <v>9.9055190310727112E-2</v>
      </c>
      <c r="C283" s="24">
        <f t="shared" si="14"/>
        <v>55.61241398873586</v>
      </c>
      <c r="D283" s="57">
        <f t="shared" si="12"/>
        <v>1.1886622837287253</v>
      </c>
      <c r="E283" s="59" t="str">
        <f>IF(COUNTIF($D$6:D283,$D$6)&gt;1,"Do Not Copy","Copy")</f>
        <v>Copy</v>
      </c>
    </row>
    <row r="284" spans="1:5" x14ac:dyDescent="0.25">
      <c r="A284" s="14">
        <f t="shared" si="13"/>
        <v>0.9652777777777749</v>
      </c>
      <c r="B284" s="27">
        <f>INDEX('IDF Distributions'!$A$1:$AB$290,MATCH(Tool!$A284,'IDF Distributions'!$A$1:$A$290,0),MATCH(Tool!B$5,'IDF Distributions'!$A$1:$AB$1,0))*$I$6</f>
        <v>9.4338276486407371E-2</v>
      </c>
      <c r="C284" s="24">
        <f t="shared" si="14"/>
        <v>55.706752265222264</v>
      </c>
      <c r="D284" s="57">
        <f t="shared" si="12"/>
        <v>1.1320593178368885</v>
      </c>
      <c r="E284" s="59" t="str">
        <f>IF(COUNTIF($D$6:D284,$D$6)&gt;1,"Do Not Copy","Copy")</f>
        <v>Copy</v>
      </c>
    </row>
    <row r="285" spans="1:5" x14ac:dyDescent="0.25">
      <c r="A285" s="14">
        <f t="shared" si="13"/>
        <v>0.96874999999999711</v>
      </c>
      <c r="B285" s="27">
        <f>INDEX('IDF Distributions'!$A$1:$AB$290,MATCH(Tool!$A285,'IDF Distributions'!$A$1:$A$290,0),MATCH(Tool!B$5,'IDF Distributions'!$A$1:$AB$1,0))*$I$6</f>
        <v>9.4338276486401085E-2</v>
      </c>
      <c r="C285" s="24">
        <f t="shared" si="14"/>
        <v>55.801090541708668</v>
      </c>
      <c r="D285" s="57">
        <f t="shared" si="12"/>
        <v>1.132059317836813</v>
      </c>
      <c r="E285" s="59" t="str">
        <f>IF(COUNTIF($D$6:D285,$D$6)&gt;1,"Do Not Copy","Copy")</f>
        <v>Copy</v>
      </c>
    </row>
    <row r="286" spans="1:5" x14ac:dyDescent="0.25">
      <c r="A286" s="14">
        <f t="shared" si="13"/>
        <v>0.97222222222221932</v>
      </c>
      <c r="B286" s="27">
        <f>INDEX('IDF Distributions'!$A$1:$AB$290,MATCH(Tool!$A286,'IDF Distributions'!$A$1:$A$290,0),MATCH(Tool!B$5,'IDF Distributions'!$A$1:$AB$1,0))*$I$6</f>
        <v>9.1508128191809243E-2</v>
      </c>
      <c r="C286" s="24">
        <f t="shared" si="14"/>
        <v>55.89259866990048</v>
      </c>
      <c r="D286" s="57">
        <f t="shared" si="12"/>
        <v>1.0980975383017109</v>
      </c>
      <c r="E286" s="59" t="str">
        <f>IF(COUNTIF($D$6:D286,$D$6)&gt;1,"Do Not Copy","Copy")</f>
        <v>Copy</v>
      </c>
    </row>
    <row r="287" spans="1:5" x14ac:dyDescent="0.25">
      <c r="A287" s="14">
        <f t="shared" si="13"/>
        <v>0.97569444444444153</v>
      </c>
      <c r="B287" s="27">
        <f>INDEX('IDF Distributions'!$A$1:$AB$290,MATCH(Tool!$A287,'IDF Distributions'!$A$1:$A$290,0),MATCH(Tool!B$5,'IDF Distributions'!$A$1:$AB$1,0))*$I$6</f>
        <v>9.1508128191815516E-2</v>
      </c>
      <c r="C287" s="24">
        <f t="shared" si="14"/>
        <v>55.984106798092292</v>
      </c>
      <c r="D287" s="57">
        <f t="shared" si="12"/>
        <v>1.0980975383017861</v>
      </c>
      <c r="E287" s="59" t="str">
        <f>IF(COUNTIF($D$6:D287,$D$6)&gt;1,"Do Not Copy","Copy")</f>
        <v>Copy</v>
      </c>
    </row>
    <row r="288" spans="1:5" x14ac:dyDescent="0.25">
      <c r="A288" s="14">
        <f t="shared" si="13"/>
        <v>0.97916666666666374</v>
      </c>
      <c r="B288" s="27">
        <f>INDEX('IDF Distributions'!$A$1:$AB$290,MATCH(Tool!$A288,'IDF Distributions'!$A$1:$A$290,0),MATCH(Tool!B$5,'IDF Distributions'!$A$1:$AB$1,0))*$I$6</f>
        <v>9.4338276486401085E-2</v>
      </c>
      <c r="C288" s="24">
        <f t="shared" si="14"/>
        <v>56.078445074578696</v>
      </c>
      <c r="D288" s="57">
        <f t="shared" si="12"/>
        <v>1.132059317836813</v>
      </c>
      <c r="E288" s="59" t="str">
        <f>IF(COUNTIF($D$6:D288,$D$6)&gt;1,"Do Not Copy","Copy")</f>
        <v>Copy</v>
      </c>
    </row>
    <row r="289" spans="1:5" x14ac:dyDescent="0.25">
      <c r="A289" s="14">
        <f t="shared" si="13"/>
        <v>0.98263888888888595</v>
      </c>
      <c r="B289" s="27">
        <f>INDEX('IDF Distributions'!$A$1:$AB$290,MATCH(Tool!$A289,'IDF Distributions'!$A$1:$A$290,0),MATCH(Tool!B$5,'IDF Distributions'!$A$1:$AB$1,0))*$I$6</f>
        <v>9.4338276486407371E-2</v>
      </c>
      <c r="C289" s="24">
        <f t="shared" si="14"/>
        <v>56.1727833510651</v>
      </c>
      <c r="D289" s="57">
        <f t="shared" si="12"/>
        <v>1.1320593178368885</v>
      </c>
      <c r="E289" s="59" t="str">
        <f>IF(COUNTIF($D$6:D289,$D$6)&gt;1,"Do Not Copy","Copy")</f>
        <v>Copy</v>
      </c>
    </row>
    <row r="290" spans="1:5" x14ac:dyDescent="0.25">
      <c r="A290" s="14">
        <f t="shared" si="13"/>
        <v>0.98611111111110816</v>
      </c>
      <c r="B290" s="27">
        <f>INDEX('IDF Distributions'!$A$1:$AB$290,MATCH(Tool!$A290,'IDF Distributions'!$A$1:$A$290,0),MATCH(Tool!B$5,'IDF Distributions'!$A$1:$AB$1,0))*$I$6</f>
        <v>8.9621362662087631E-2</v>
      </c>
      <c r="C290" s="24">
        <f t="shared" si="14"/>
        <v>56.262404713727186</v>
      </c>
      <c r="D290" s="57">
        <f t="shared" si="12"/>
        <v>1.0754563519450515</v>
      </c>
      <c r="E290" s="59" t="str">
        <f>IF(COUNTIF($D$6:D290,$D$6)&gt;1,"Do Not Copy","Copy")</f>
        <v>Copy</v>
      </c>
    </row>
    <row r="291" spans="1:5" x14ac:dyDescent="0.25">
      <c r="A291" s="14">
        <f t="shared" si="13"/>
        <v>0.98958333333333037</v>
      </c>
      <c r="B291" s="27">
        <f>INDEX('IDF Distributions'!$A$1:$AB$290,MATCH(Tool!$A291,'IDF Distributions'!$A$1:$A$290,0),MATCH(Tool!B$5,'IDF Distributions'!$A$1:$AB$1,0))*$I$6</f>
        <v>8.9621362662081344E-2</v>
      </c>
      <c r="C291" s="24">
        <f t="shared" si="14"/>
        <v>56.352026076389265</v>
      </c>
      <c r="D291" s="57">
        <f t="shared" si="12"/>
        <v>1.0754563519449762</v>
      </c>
      <c r="E291" s="59" t="str">
        <f>IF(COUNTIF($D$6:D291,$D$6)&gt;1,"Do Not Copy","Copy")</f>
        <v>Copy</v>
      </c>
    </row>
    <row r="292" spans="1:5" x14ac:dyDescent="0.25">
      <c r="A292" s="14">
        <f t="shared" si="13"/>
        <v>0.99305555555555258</v>
      </c>
      <c r="B292" s="27">
        <f>INDEX('IDF Distributions'!$A$1:$AB$290,MATCH(Tool!$A292,'IDF Distributions'!$A$1:$A$290,0),MATCH(Tool!B$5,'IDF Distributions'!$A$1:$AB$1,0))*$I$6</f>
        <v>8.9621362662087631E-2</v>
      </c>
      <c r="C292" s="24">
        <f t="shared" si="14"/>
        <v>56.441647439051351</v>
      </c>
      <c r="D292" s="57">
        <f t="shared" si="12"/>
        <v>1.0754563519450515</v>
      </c>
      <c r="E292" s="59" t="str">
        <f>IF(COUNTIF($D$6:D292,$D$6)&gt;1,"Do Not Copy","Copy")</f>
        <v>Copy</v>
      </c>
    </row>
    <row r="293" spans="1:5" x14ac:dyDescent="0.25">
      <c r="A293" s="14">
        <f t="shared" si="13"/>
        <v>0.99652777777777479</v>
      </c>
      <c r="B293" s="27">
        <f>INDEX('IDF Distributions'!$A$1:$AB$290,MATCH(Tool!$A293,'IDF Distributions'!$A$1:$A$290,0),MATCH(Tool!B$5,'IDF Distributions'!$A$1:$AB$1,0))*$I$6</f>
        <v>8.9621362662087631E-2</v>
      </c>
      <c r="C293" s="24">
        <f t="shared" si="14"/>
        <v>56.531268801713438</v>
      </c>
      <c r="D293" s="57">
        <f t="shared" si="12"/>
        <v>1.0754563519450515</v>
      </c>
      <c r="E293" s="59" t="str">
        <f>IF(COUNTIF($D$6:D293,$D$6)&gt;1,"Do Not Copy","Copy")</f>
        <v>Copy</v>
      </c>
    </row>
    <row r="294" spans="1:5" ht="15.75" thickBot="1" x14ac:dyDescent="0.3">
      <c r="A294" s="15">
        <f t="shared" si="13"/>
        <v>0.999999999999997</v>
      </c>
      <c r="B294" s="28">
        <f>INDEX('IDF Distributions'!$A$1:$AB$290,MATCH(Tool!$A294,'IDF Distributions'!$A$1:$A$290,0),MATCH(Tool!B$5,'IDF Distributions'!$A$1:$AB$1,0))*$I$6</f>
        <v>7.1697090129666324E-2</v>
      </c>
      <c r="C294" s="29">
        <f t="shared" si="14"/>
        <v>56.602965891843105</v>
      </c>
      <c r="D294" s="58">
        <f t="shared" si="12"/>
        <v>0.86036508155599589</v>
      </c>
      <c r="E294" s="59" t="str">
        <f>IF(COUNTIF($D$6:D294,$D$6)&gt;1,"Do Not Copy","Copy")</f>
        <v>Copy</v>
      </c>
    </row>
  </sheetData>
  <sheetProtection algorithmName="SHA-512" hashValue="X7lbYmuXsuk3iUPbBDC0GkeJpzaXfNJ42R35EB8zEVST60dHC0L0mje4TCl++bgpisp/l+nhnKxDkkyPfhkh9w==" saltValue="3BZNKfPkFF7zuOaFMR3G4g==" spinCount="100000" sheet="1" objects="1" scenarios="1"/>
  <conditionalFormatting sqref="E6:E294">
    <cfRule type="containsText" dxfId="6" priority="2" operator="containsText" text="Do Not Copy">
      <formula>NOT(ISERROR(SEARCH("Do Not Copy",E6)))</formula>
    </cfRule>
    <cfRule type="containsText" dxfId="5" priority="3" operator="containsText" text="Copy">
      <formula>NOT(ISERROR(SEARCH("Copy",E6)))</formula>
    </cfRule>
  </conditionalFormatting>
  <conditionalFormatting sqref="F2">
    <cfRule type="beginsWith" dxfId="4" priority="1" operator="beginsWith" text="*">
      <formula>LEFT(F2,LEN("*"))="*"</formula>
    </cfRule>
  </conditionalFormatting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54294A66-86F9-4129-AE15-DEA6AEA5DE8C}">
          <x14:formula1>
            <xm:f>Dropdowns_Lookups!$A$2:$A$4</xm:f>
          </x14:formula1>
          <xm:sqref>A2</xm:sqref>
        </x14:dataValidation>
        <x14:dataValidation type="list" allowBlank="1" showInputMessage="1" showErrorMessage="1" xr:uid="{712BEAA8-4164-445B-B314-0939963B5585}">
          <x14:formula1>
            <xm:f>IF($A$2="COV (2018)",Dropdowns_Lookups!$C$2:$C$6,IF($A$2="COV (2014)",Dropdowns_Lookups!$C$9:$C$11,Dropdowns_Lookups!$C$14:$C$18))</xm:f>
          </x14:formula1>
          <xm:sqref>C2</xm:sqref>
        </x14:dataValidation>
        <x14:dataValidation type="list" allowBlank="1" showInputMessage="1" showErrorMessage="1" xr:uid="{FD4FA277-4748-4077-A7B7-B8400425AFF3}">
          <x14:formula1>
            <xm:f>Dropdowns_Lookups!$D$2:$D$10</xm:f>
          </x14:formula1>
          <xm:sqref>D2</xm:sqref>
        </x14:dataValidation>
        <x14:dataValidation type="list" allowBlank="1" showInputMessage="1" showErrorMessage="1" xr:uid="{DEE389FF-EA9D-47DB-9F32-A84C4D0266F9}">
          <x14:formula1>
            <xm:f>IF($A$2="COV (2018)",Dropdowns_Lookups!$E$2:$E$9,IF($A$2="COV (2014)",Dropdowns_Lookups!$E$12:$E$17,Dropdowns_Lookups!$E$20:$E$26))</xm:f>
          </x14:formula1>
          <xm:sqref>E2</xm:sqref>
        </x14:dataValidation>
        <x14:dataValidation type="list" allowBlank="1" showInputMessage="1" showErrorMessage="1" xr:uid="{E0B35D98-A24E-442F-8DDB-EEAB0696229B}">
          <x14:formula1>
            <xm:f>IF($A$2="COV (2018)",Dropdowns_Lookups!$B$2:$B$4,IF($A$2="COV (2014)",Dropdowns_Lookups!$B$7,Dropdowns_Lookups!$B$10:$B$12))</xm:f>
          </x14:formula1>
          <xm:sqref>B2</xm:sqref>
        </x14:dataValidation>
        <x14:dataValidation type="list" allowBlank="1" showInputMessage="1" showErrorMessage="1" xr:uid="{BDD5E492-D6B0-462D-B070-57E13FCC87D7}">
          <x14:formula1>
            <xm:f>IF($D$2="1-hr",Dropdowns_Lookups!$F$2:$F$5,IF($D$2="2-hr",Dropdowns_Lookups!$F$8:$F$11,IF($D$2="6-hr",Dropdowns_Lookups!$F$14:$F$19,IF($D$2="12-hr",Dropdowns_Lookups!$F$22:$F$27,IF($D$2="24-hr",Dropdowns_Lookups!$F$30:$F$36,Dropdowns_Lookups!$F$43)))))</xm:f>
          </x14:formula1>
          <xm:sqref>F2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4C78A-CECB-433A-A09D-99DC467B3DD0}">
  <sheetPr codeName="Sheet3"/>
  <dimension ref="A1:W290"/>
  <sheetViews>
    <sheetView workbookViewId="0">
      <selection activeCell="W8" sqref="W8"/>
    </sheetView>
  </sheetViews>
  <sheetFormatPr defaultRowHeight="15" x14ac:dyDescent="0.25"/>
  <cols>
    <col min="1" max="1" width="13.7109375" bestFit="1" customWidth="1"/>
    <col min="2" max="2" width="14.42578125" bestFit="1" customWidth="1"/>
    <col min="3" max="3" width="16.5703125" bestFit="1" customWidth="1"/>
    <col min="4" max="4" width="17" bestFit="1" customWidth="1"/>
    <col min="23" max="23" width="15.140625" bestFit="1" customWidth="1"/>
  </cols>
  <sheetData>
    <row r="1" spans="1:23" x14ac:dyDescent="0.25">
      <c r="A1" s="63" t="s">
        <v>401</v>
      </c>
      <c r="B1" s="64" t="s">
        <v>400</v>
      </c>
      <c r="C1" s="64" t="s">
        <v>174</v>
      </c>
      <c r="D1" s="65" t="s">
        <v>175</v>
      </c>
    </row>
    <row r="2" spans="1:23" x14ac:dyDescent="0.25">
      <c r="A2" s="66">
        <f>IF(Tool!$E6="Copy",Tool!A6,NA())</f>
        <v>0</v>
      </c>
      <c r="B2" s="62">
        <f>IF(Tool!$E6="Copy",Tool!B6,NA())</f>
        <v>0</v>
      </c>
      <c r="C2" s="62">
        <f>IF(Tool!$E6="Copy",Tool!C6,NA())</f>
        <v>0</v>
      </c>
      <c r="D2" s="67">
        <f>IF(Tool!$E6="Copy",Tool!D6,NA())</f>
        <v>0</v>
      </c>
      <c r="W2" s="102" t="s">
        <v>416</v>
      </c>
    </row>
    <row r="3" spans="1:23" x14ac:dyDescent="0.25">
      <c r="A3" s="66">
        <f>IF(Tool!$E7="Copy",Tool!A7,NA())</f>
        <v>3.472222222222222E-3</v>
      </c>
      <c r="B3" s="62">
        <f>IF(Tool!$E7="Copy",Tool!B7,NA())</f>
        <v>0.12452652496205485</v>
      </c>
      <c r="C3" s="62">
        <f>IF(Tool!$E7="Copy",Tool!C7,NA())</f>
        <v>0.12452652496205485</v>
      </c>
      <c r="D3" s="67">
        <f>IF(Tool!$E7="Copy",Tool!D7,NA())</f>
        <v>1.4943182995446582</v>
      </c>
      <c r="W3" s="2" t="s">
        <v>417</v>
      </c>
    </row>
    <row r="4" spans="1:23" x14ac:dyDescent="0.25">
      <c r="A4" s="66">
        <f>IF(Tool!$E8="Copy",Tool!A8,NA())</f>
        <v>6.9444444444444441E-3</v>
      </c>
      <c r="B4" s="62">
        <f>IF(Tool!$E8="Copy",Tool!B8,NA())</f>
        <v>9.9055190310725461E-2</v>
      </c>
      <c r="C4" s="62">
        <f>IF(Tool!$E8="Copy",Tool!C8,NA())</f>
        <v>0.22358171527278031</v>
      </c>
      <c r="D4" s="67">
        <f>IF(Tool!$E8="Copy",Tool!D8,NA())</f>
        <v>1.1886622837287055</v>
      </c>
    </row>
    <row r="5" spans="1:23" x14ac:dyDescent="0.25">
      <c r="A5" s="66">
        <f>IF(Tool!$E9="Copy",Tool!A9,NA())</f>
        <v>1.0416666666666666E-2</v>
      </c>
      <c r="B5" s="62">
        <f>IF(Tool!$E9="Copy",Tool!B9,NA())</f>
        <v>9.5281659251269205E-2</v>
      </c>
      <c r="C5" s="62">
        <f>IF(Tool!$E9="Copy",Tool!C9,NA())</f>
        <v>0.3188633745240495</v>
      </c>
      <c r="D5" s="67">
        <f>IF(Tool!$E9="Copy",Tool!D9,NA())</f>
        <v>1.1433799110152305</v>
      </c>
    </row>
    <row r="6" spans="1:23" x14ac:dyDescent="0.25">
      <c r="A6" s="66">
        <f>IF(Tool!$E10="Copy",Tool!A10,NA())</f>
        <v>1.3888888888888888E-2</v>
      </c>
      <c r="B6" s="62">
        <f>IF(Tool!$E10="Copy",Tool!B10,NA())</f>
        <v>9.1508128191813073E-2</v>
      </c>
      <c r="C6" s="62">
        <f>IF(Tool!$E10="Copy",Tool!C10,NA())</f>
        <v>0.41037150271586259</v>
      </c>
      <c r="D6" s="67">
        <f>IF(Tool!$E10="Copy",Tool!D10,NA())</f>
        <v>1.0980975383017568</v>
      </c>
    </row>
    <row r="7" spans="1:23" x14ac:dyDescent="0.25">
      <c r="A7" s="66">
        <f>IF(Tool!$E11="Copy",Tool!A11,NA())</f>
        <v>1.7361111111111112E-2</v>
      </c>
      <c r="B7" s="62">
        <f>IF(Tool!$E11="Copy",Tool!B11,NA())</f>
        <v>8.7734597132356831E-2</v>
      </c>
      <c r="C7" s="62">
        <f>IF(Tool!$E11="Copy",Tool!C11,NA())</f>
        <v>0.49810609984821941</v>
      </c>
      <c r="D7" s="67">
        <f>IF(Tool!$E11="Copy",Tool!D11,NA())</f>
        <v>1.052815165588282</v>
      </c>
    </row>
    <row r="8" spans="1:23" x14ac:dyDescent="0.25">
      <c r="A8" s="66">
        <f>IF(Tool!$E12="Copy",Tool!A12,NA())</f>
        <v>2.0833333333333336E-2</v>
      </c>
      <c r="B8" s="62">
        <f>IF(Tool!$E12="Copy",Tool!B12,NA())</f>
        <v>8.4904448837764643E-2</v>
      </c>
      <c r="C8" s="62">
        <f>IF(Tool!$E12="Copy",Tool!C12,NA())</f>
        <v>0.58301054868598401</v>
      </c>
      <c r="D8" s="67">
        <f>IF(Tool!$E12="Copy",Tool!D12,NA())</f>
        <v>1.0188533860531757</v>
      </c>
    </row>
    <row r="9" spans="1:23" x14ac:dyDescent="0.25">
      <c r="A9" s="66">
        <f>IF(Tool!$E13="Copy",Tool!A13,NA())</f>
        <v>2.4305555555555559E-2</v>
      </c>
      <c r="B9" s="62">
        <f>IF(Tool!$E13="Copy",Tool!B13,NA())</f>
        <v>8.4904448837764643E-2</v>
      </c>
      <c r="C9" s="62">
        <f>IF(Tool!$E13="Copy",Tool!C13,NA())</f>
        <v>0.66791499752374861</v>
      </c>
      <c r="D9" s="67">
        <f>IF(Tool!$E13="Copy",Tool!D13,NA())</f>
        <v>1.0188533860531757</v>
      </c>
    </row>
    <row r="10" spans="1:23" x14ac:dyDescent="0.25">
      <c r="A10" s="66">
        <f>IF(Tool!$E14="Copy",Tool!A14,NA())</f>
        <v>2.7777777777777783E-2</v>
      </c>
      <c r="B10" s="62">
        <f>IF(Tool!$E14="Copy",Tool!B14,NA())</f>
        <v>8.962136266208498E-2</v>
      </c>
      <c r="C10" s="62">
        <f>IF(Tool!$E14="Copy",Tool!C14,NA())</f>
        <v>0.75753636018583359</v>
      </c>
      <c r="D10" s="67">
        <f>IF(Tool!$E14="Copy",Tool!D14,NA())</f>
        <v>1.0754563519450198</v>
      </c>
    </row>
    <row r="11" spans="1:23" x14ac:dyDescent="0.25">
      <c r="A11" s="66">
        <f>IF(Tool!$E15="Copy",Tool!A15,NA())</f>
        <v>3.1250000000000007E-2</v>
      </c>
      <c r="B11" s="62">
        <f>IF(Tool!$E15="Copy",Tool!B15,NA())</f>
        <v>9.3394893721541056E-2</v>
      </c>
      <c r="C11" s="62">
        <f>IF(Tool!$E15="Copy",Tool!C15,NA())</f>
        <v>0.85093125390737467</v>
      </c>
      <c r="D11" s="67">
        <f>IF(Tool!$E15="Copy",Tool!D15,NA())</f>
        <v>1.1207387246584926</v>
      </c>
    </row>
    <row r="12" spans="1:23" x14ac:dyDescent="0.25">
      <c r="A12" s="66">
        <f>IF(Tool!$E16="Copy",Tool!A16,NA())</f>
        <v>3.4722222222222231E-2</v>
      </c>
      <c r="B12" s="62">
        <f>IF(Tool!$E16="Copy",Tool!B16,NA())</f>
        <v>9.7168424780997437E-2</v>
      </c>
      <c r="C12" s="62">
        <f>IF(Tool!$E16="Copy",Tool!C16,NA())</f>
        <v>0.94809967868837208</v>
      </c>
      <c r="D12" s="67">
        <f>IF(Tool!$E16="Copy",Tool!D16,NA())</f>
        <v>1.1660210973719694</v>
      </c>
    </row>
    <row r="13" spans="1:23" x14ac:dyDescent="0.25">
      <c r="A13" s="66">
        <f>IF(Tool!$E17="Copy",Tool!A17,NA())</f>
        <v>3.8194444444444454E-2</v>
      </c>
      <c r="B13" s="62">
        <f>IF(Tool!$E17="Copy",Tool!B17,NA())</f>
        <v>0.10094195584045343</v>
      </c>
      <c r="C13" s="62">
        <f>IF(Tool!$E17="Copy",Tool!C17,NA())</f>
        <v>1.0490416345288256</v>
      </c>
      <c r="D13" s="67">
        <f>IF(Tool!$E17="Copy",Tool!D17,NA())</f>
        <v>1.2113034700854413</v>
      </c>
    </row>
    <row r="14" spans="1:23" x14ac:dyDescent="0.25">
      <c r="A14" s="66">
        <f>IF(Tool!$E18="Copy",Tool!A18,NA())</f>
        <v>4.1666666666666678E-2</v>
      </c>
      <c r="B14" s="62">
        <f>IF(Tool!$E18="Copy",Tool!B18,NA())</f>
        <v>0.10943240072423015</v>
      </c>
      <c r="C14" s="62">
        <f>IF(Tool!$E18="Copy",Tool!C18,NA())</f>
        <v>1.1584740352530558</v>
      </c>
      <c r="D14" s="67">
        <f>IF(Tool!$E18="Copy",Tool!D18,NA())</f>
        <v>1.3131888086907617</v>
      </c>
    </row>
    <row r="15" spans="1:23" x14ac:dyDescent="0.25">
      <c r="A15" s="66">
        <f>IF(Tool!$E19="Copy",Tool!A19,NA())</f>
        <v>4.5138888888888902E-2</v>
      </c>
      <c r="B15" s="62">
        <f>IF(Tool!$E19="Copy",Tool!B19,NA())</f>
        <v>0.13207358708096725</v>
      </c>
      <c r="C15" s="62">
        <f>IF(Tool!$E19="Copy",Tool!C19,NA())</f>
        <v>1.2905476223340231</v>
      </c>
      <c r="D15" s="67">
        <f>IF(Tool!$E19="Copy",Tool!D19,NA())</f>
        <v>1.5848830449716069</v>
      </c>
    </row>
    <row r="16" spans="1:23" x14ac:dyDescent="0.25">
      <c r="A16" s="66">
        <f>IF(Tool!$E20="Copy",Tool!A20,NA())</f>
        <v>4.8611111111111126E-2</v>
      </c>
      <c r="B16" s="62">
        <f>IF(Tool!$E20="Copy",Tool!B20,NA())</f>
        <v>0.13679050090528758</v>
      </c>
      <c r="C16" s="62">
        <f>IF(Tool!$E20="Copy",Tool!C20,NA())</f>
        <v>1.4273381232393108</v>
      </c>
      <c r="D16" s="67">
        <f>IF(Tool!$E20="Copy",Tool!D20,NA())</f>
        <v>1.641486010863451</v>
      </c>
    </row>
    <row r="17" spans="1:4" x14ac:dyDescent="0.25">
      <c r="A17" s="66">
        <f>IF(Tool!$E21="Copy",Tool!A21,NA())</f>
        <v>5.208333333333335E-2</v>
      </c>
      <c r="B17" s="62">
        <f>IF(Tool!$E21="Copy",Tool!B21,NA())</f>
        <v>0.14056403196474357</v>
      </c>
      <c r="C17" s="62">
        <f>IF(Tool!$E21="Copy",Tool!C21,NA())</f>
        <v>1.5679021552040544</v>
      </c>
      <c r="D17" s="67">
        <f>IF(Tool!$E21="Copy",Tool!D21,NA())</f>
        <v>1.6867683835769229</v>
      </c>
    </row>
    <row r="18" spans="1:4" x14ac:dyDescent="0.25">
      <c r="A18" s="66">
        <f>IF(Tool!$E22="Copy",Tool!A22,NA())</f>
        <v>5.5555555555555573E-2</v>
      </c>
      <c r="B18" s="62">
        <f>IF(Tool!$E22="Copy",Tool!B22,NA())</f>
        <v>0.14433756302419995</v>
      </c>
      <c r="C18" s="62">
        <f>IF(Tool!$E22="Copy",Tool!C22,NA())</f>
        <v>1.7122397182282543</v>
      </c>
      <c r="D18" s="67">
        <f>IF(Tool!$E22="Copy",Tool!D22,NA())</f>
        <v>1.7320507562903993</v>
      </c>
    </row>
    <row r="19" spans="1:4" x14ac:dyDescent="0.25">
      <c r="A19" s="66">
        <f>IF(Tool!$E23="Copy",Tool!A23,NA())</f>
        <v>5.9027777777777797E-2</v>
      </c>
      <c r="B19" s="62">
        <f>IF(Tool!$E23="Copy",Tool!B23,NA())</f>
        <v>0.14811109408365633</v>
      </c>
      <c r="C19" s="62">
        <f>IF(Tool!$E23="Copy",Tool!C23,NA())</f>
        <v>1.8603508123119106</v>
      </c>
      <c r="D19" s="67">
        <f>IF(Tool!$E23="Copy",Tool!D23,NA())</f>
        <v>1.7773331290038761</v>
      </c>
    </row>
    <row r="20" spans="1:4" x14ac:dyDescent="0.25">
      <c r="A20" s="66">
        <f>IF(Tool!$E24="Copy",Tool!A24,NA())</f>
        <v>6.2500000000000014E-2</v>
      </c>
      <c r="B20" s="62">
        <f>IF(Tool!$E24="Copy",Tool!B24,NA())</f>
        <v>0.14905447684852027</v>
      </c>
      <c r="C20" s="62">
        <f>IF(Tool!$E24="Copy",Tool!C24,NA())</f>
        <v>2.0094052891604308</v>
      </c>
      <c r="D20" s="67">
        <f>IF(Tool!$E24="Copy",Tool!D24,NA())</f>
        <v>1.7886537221822434</v>
      </c>
    </row>
    <row r="21" spans="1:4" x14ac:dyDescent="0.25">
      <c r="A21" s="66">
        <f>IF(Tool!$E25="Copy",Tool!A25,NA())</f>
        <v>6.5972222222222238E-2</v>
      </c>
      <c r="B21" s="62">
        <f>IF(Tool!$E25="Copy",Tool!B25,NA())</f>
        <v>0.14150741472960751</v>
      </c>
      <c r="C21" s="62">
        <f>IF(Tool!$E25="Copy",Tool!C25,NA())</f>
        <v>2.1509127038900382</v>
      </c>
      <c r="D21" s="67">
        <f>IF(Tool!$E25="Copy",Tool!D25,NA())</f>
        <v>1.6980889767552902</v>
      </c>
    </row>
    <row r="22" spans="1:4" x14ac:dyDescent="0.25">
      <c r="A22" s="66">
        <f>IF(Tool!$E26="Copy",Tool!A26,NA())</f>
        <v>6.9444444444444461E-2</v>
      </c>
      <c r="B22" s="62">
        <f>IF(Tool!$E26="Copy",Tool!B26,NA())</f>
        <v>0.1415074147296079</v>
      </c>
      <c r="C22" s="62">
        <f>IF(Tool!$E26="Copy",Tool!C26,NA())</f>
        <v>2.292420118619646</v>
      </c>
      <c r="D22" s="67">
        <f>IF(Tool!$E26="Copy",Tool!D26,NA())</f>
        <v>1.6980889767552947</v>
      </c>
    </row>
    <row r="23" spans="1:4" x14ac:dyDescent="0.25">
      <c r="A23" s="66">
        <f>IF(Tool!$E27="Copy",Tool!A27,NA())</f>
        <v>7.2916666666666685E-2</v>
      </c>
      <c r="B23" s="62">
        <f>IF(Tool!$E27="Copy",Tool!B27,NA())</f>
        <v>0.13773388367015171</v>
      </c>
      <c r="C23" s="62">
        <f>IF(Tool!$E27="Copy",Tool!C27,NA())</f>
        <v>2.4301540022897976</v>
      </c>
      <c r="D23" s="67">
        <f>IF(Tool!$E27="Copy",Tool!D27,NA())</f>
        <v>1.6528066040418206</v>
      </c>
    </row>
    <row r="24" spans="1:4" x14ac:dyDescent="0.25">
      <c r="A24" s="66">
        <f>IF(Tool!$E28="Copy",Tool!A28,NA())</f>
        <v>7.6388888888888909E-2</v>
      </c>
      <c r="B24" s="62">
        <f>IF(Tool!$E28="Copy",Tool!B28,NA())</f>
        <v>0.14245079749447184</v>
      </c>
      <c r="C24" s="62">
        <f>IF(Tool!$E28="Copy",Tool!C28,NA())</f>
        <v>2.5726047997842696</v>
      </c>
      <c r="D24" s="67">
        <f>IF(Tool!$E28="Copy",Tool!D28,NA())</f>
        <v>1.709409569933662</v>
      </c>
    </row>
    <row r="25" spans="1:4" x14ac:dyDescent="0.25">
      <c r="A25" s="66">
        <f>IF(Tool!$E29="Copy",Tool!A29,NA())</f>
        <v>7.9861111111111133E-2</v>
      </c>
      <c r="B25" s="62">
        <f>IF(Tool!$E29="Copy",Tool!B29,NA())</f>
        <v>0.14433756302419976</v>
      </c>
      <c r="C25" s="62">
        <f>IF(Tool!$E29="Copy",Tool!C29,NA())</f>
        <v>2.7169423628084695</v>
      </c>
      <c r="D25" s="67">
        <f>IF(Tool!$E29="Copy",Tool!D29,NA())</f>
        <v>1.7320507562903971</v>
      </c>
    </row>
    <row r="26" spans="1:4" x14ac:dyDescent="0.25">
      <c r="A26" s="66">
        <f>IF(Tool!$E30="Copy",Tool!A30,NA())</f>
        <v>8.3333333333333356E-2</v>
      </c>
      <c r="B26" s="62">
        <f>IF(Tool!$E30="Copy",Tool!B30,NA())</f>
        <v>0.14245079749447184</v>
      </c>
      <c r="C26" s="62">
        <f>IF(Tool!$E30="Copy",Tool!C30,NA())</f>
        <v>2.8593931603029414</v>
      </c>
      <c r="D26" s="67">
        <f>IF(Tool!$E30="Copy",Tool!D30,NA())</f>
        <v>1.709409569933662</v>
      </c>
    </row>
    <row r="27" spans="1:4" x14ac:dyDescent="0.25">
      <c r="A27" s="66">
        <f>IF(Tool!$E31="Copy",Tool!A31,NA())</f>
        <v>8.680555555555558E-2</v>
      </c>
      <c r="B27" s="62">
        <f>IF(Tool!$E31="Copy",Tool!B31,NA())</f>
        <v>0.14622432855392803</v>
      </c>
      <c r="C27" s="62">
        <f>IF(Tool!$E31="Copy",Tool!C31,NA())</f>
        <v>3.0056174888568696</v>
      </c>
      <c r="D27" s="67">
        <f>IF(Tool!$E31="Copy",Tool!D31,NA())</f>
        <v>1.7546919426471363</v>
      </c>
    </row>
    <row r="28" spans="1:4" x14ac:dyDescent="0.25">
      <c r="A28" s="66">
        <f>IF(Tool!$E32="Copy",Tool!A32,NA())</f>
        <v>9.0277777777777804E-2</v>
      </c>
      <c r="B28" s="62">
        <f>IF(Tool!$E32="Copy",Tool!B32,NA())</f>
        <v>0.15094124237824857</v>
      </c>
      <c r="C28" s="62">
        <f>IF(Tool!$E32="Copy",Tool!C32,NA())</f>
        <v>3.1565587312351182</v>
      </c>
      <c r="D28" s="67">
        <f>IF(Tool!$E32="Copy",Tool!D32,NA())</f>
        <v>1.8112949085389829</v>
      </c>
    </row>
    <row r="29" spans="1:4" x14ac:dyDescent="0.25">
      <c r="A29" s="66">
        <f>IF(Tool!$E33="Copy",Tool!A33,NA())</f>
        <v>9.3750000000000028E-2</v>
      </c>
      <c r="B29" s="62">
        <f>IF(Tool!$E33="Copy",Tool!B33,NA())</f>
        <v>0.15094124237824777</v>
      </c>
      <c r="C29" s="62">
        <f>IF(Tool!$E33="Copy",Tool!C33,NA())</f>
        <v>3.3074999736133659</v>
      </c>
      <c r="D29" s="67">
        <f>IF(Tool!$E33="Copy",Tool!D33,NA())</f>
        <v>1.8112949085389731</v>
      </c>
    </row>
    <row r="30" spans="1:4" x14ac:dyDescent="0.25">
      <c r="A30" s="66">
        <f>IF(Tool!$E34="Copy",Tool!A34,NA())</f>
        <v>9.7222222222222252E-2</v>
      </c>
      <c r="B30" s="62">
        <f>IF(Tool!$E34="Copy",Tool!B34,NA())</f>
        <v>0.1537713906728404</v>
      </c>
      <c r="C30" s="62">
        <f>IF(Tool!$E34="Copy",Tool!C34,NA())</f>
        <v>3.4612713642862065</v>
      </c>
      <c r="D30" s="67">
        <f>IF(Tool!$E34="Copy",Tool!D34,NA())</f>
        <v>1.8452566880740848</v>
      </c>
    </row>
    <row r="31" spans="1:4" x14ac:dyDescent="0.25">
      <c r="A31" s="66">
        <f>IF(Tool!$E35="Copy",Tool!A35,NA())</f>
        <v>0.10069444444444448</v>
      </c>
      <c r="B31" s="62">
        <f>IF(Tool!$E35="Copy",Tool!B35,NA())</f>
        <v>0.15377139067284079</v>
      </c>
      <c r="C31" s="62">
        <f>IF(Tool!$E35="Copy",Tool!C35,NA())</f>
        <v>3.6150427549590471</v>
      </c>
      <c r="D31" s="67">
        <f>IF(Tool!$E35="Copy",Tool!D35,NA())</f>
        <v>1.8452566880740895</v>
      </c>
    </row>
    <row r="32" spans="1:4" x14ac:dyDescent="0.25">
      <c r="A32" s="66">
        <f>IF(Tool!$E36="Copy",Tool!A36,NA())</f>
        <v>0.1041666666666667</v>
      </c>
      <c r="B32" s="62">
        <f>IF(Tool!$E36="Copy",Tool!B36,NA())</f>
        <v>0.15094124237824816</v>
      </c>
      <c r="C32" s="62">
        <f>IF(Tool!$E36="Copy",Tool!C36,NA())</f>
        <v>3.7659839973372953</v>
      </c>
      <c r="D32" s="67">
        <f>IF(Tool!$E36="Copy",Tool!D36,NA())</f>
        <v>1.811294908538978</v>
      </c>
    </row>
    <row r="33" spans="1:4" x14ac:dyDescent="0.25">
      <c r="A33" s="66">
        <f>IF(Tool!$E37="Copy",Tool!A37,NA())</f>
        <v>0.10763888888888892</v>
      </c>
      <c r="B33" s="62">
        <f>IF(Tool!$E37="Copy",Tool!B37,NA())</f>
        <v>0.15094124237824816</v>
      </c>
      <c r="C33" s="62">
        <f>IF(Tool!$E37="Copy",Tool!C37,NA())</f>
        <v>3.9169252397155434</v>
      </c>
      <c r="D33" s="67">
        <f>IF(Tool!$E37="Copy",Tool!D37,NA())</f>
        <v>1.811294908538978</v>
      </c>
    </row>
    <row r="34" spans="1:4" x14ac:dyDescent="0.25">
      <c r="A34" s="66">
        <f>IF(Tool!$E38="Copy",Tool!A38,NA())</f>
        <v>0.11111111111111115</v>
      </c>
      <c r="B34" s="62">
        <f>IF(Tool!$E38="Copy",Tool!B38,NA())</f>
        <v>0.15094124237824896</v>
      </c>
      <c r="C34" s="62">
        <f>IF(Tool!$E38="Copy",Tool!C38,NA())</f>
        <v>4.067866482093792</v>
      </c>
      <c r="D34" s="67">
        <f>IF(Tool!$E38="Copy",Tool!D38,NA())</f>
        <v>1.8112949085389876</v>
      </c>
    </row>
    <row r="35" spans="1:4" x14ac:dyDescent="0.25">
      <c r="A35" s="66">
        <f>IF(Tool!$E39="Copy",Tool!A39,NA())</f>
        <v>0.11458333333333337</v>
      </c>
      <c r="B35" s="62">
        <f>IF(Tool!$E39="Copy",Tool!B39,NA())</f>
        <v>0.15094124237824816</v>
      </c>
      <c r="C35" s="62">
        <f>IF(Tool!$E39="Copy",Tool!C39,NA())</f>
        <v>4.2188077244720406</v>
      </c>
      <c r="D35" s="67">
        <f>IF(Tool!$E39="Copy",Tool!D39,NA())</f>
        <v>1.811294908538978</v>
      </c>
    </row>
    <row r="36" spans="1:4" x14ac:dyDescent="0.25">
      <c r="A36" s="66">
        <f>IF(Tool!$E40="Copy",Tool!A40,NA())</f>
        <v>0.11805555555555559</v>
      </c>
      <c r="B36" s="62">
        <f>IF(Tool!$E40="Copy",Tool!B40,NA())</f>
        <v>0.15094124237824738</v>
      </c>
      <c r="C36" s="62">
        <f>IF(Tool!$E40="Copy",Tool!C40,NA())</f>
        <v>4.3697489668502882</v>
      </c>
      <c r="D36" s="67">
        <f>IF(Tool!$E40="Copy",Tool!D40,NA())</f>
        <v>1.8112949085389687</v>
      </c>
    </row>
    <row r="37" spans="1:4" x14ac:dyDescent="0.25">
      <c r="A37" s="66">
        <f>IF(Tool!$E41="Copy",Tool!A41,NA())</f>
        <v>0.12152777777777782</v>
      </c>
      <c r="B37" s="62">
        <f>IF(Tool!$E41="Copy",Tool!B41,NA())</f>
        <v>0.15094124237824896</v>
      </c>
      <c r="C37" s="62">
        <f>IF(Tool!$E41="Copy",Tool!C41,NA())</f>
        <v>4.5206902092285368</v>
      </c>
      <c r="D37" s="67">
        <f>IF(Tool!$E41="Copy",Tool!D41,NA())</f>
        <v>1.8112949085389876</v>
      </c>
    </row>
    <row r="38" spans="1:4" x14ac:dyDescent="0.25">
      <c r="A38" s="66">
        <f>IF(Tool!$E42="Copy",Tool!A42,NA())</f>
        <v>0.12500000000000003</v>
      </c>
      <c r="B38" s="62">
        <f>IF(Tool!$E42="Copy",Tool!B42,NA())</f>
        <v>0.14999785961338422</v>
      </c>
      <c r="C38" s="62">
        <f>IF(Tool!$E42="Copy",Tool!C42,NA())</f>
        <v>4.6706880688419208</v>
      </c>
      <c r="D38" s="67">
        <f>IF(Tool!$E42="Copy",Tool!D42,NA())</f>
        <v>1.7999743153606107</v>
      </c>
    </row>
    <row r="39" spans="1:4" x14ac:dyDescent="0.25">
      <c r="A39" s="66">
        <f>IF(Tool!$E43="Copy",Tool!A43,NA())</f>
        <v>0.12847222222222224</v>
      </c>
      <c r="B39" s="62">
        <f>IF(Tool!$E43="Copy",Tool!B43,NA())</f>
        <v>0.14622432855392764</v>
      </c>
      <c r="C39" s="62">
        <f>IF(Tool!$E43="Copy",Tool!C43,NA())</f>
        <v>4.8169123973958481</v>
      </c>
      <c r="D39" s="67">
        <f>IF(Tool!$E43="Copy",Tool!D43,NA())</f>
        <v>1.7546919426471317</v>
      </c>
    </row>
    <row r="40" spans="1:4" x14ac:dyDescent="0.25">
      <c r="A40" s="66">
        <f>IF(Tool!$E44="Copy",Tool!A44,NA())</f>
        <v>0.13194444444444445</v>
      </c>
      <c r="B40" s="62">
        <f>IF(Tool!$E44="Copy",Tool!B44,NA())</f>
        <v>0.15094124237824896</v>
      </c>
      <c r="C40" s="62">
        <f>IF(Tool!$E44="Copy",Tool!C44,NA())</f>
        <v>4.9678536397740967</v>
      </c>
      <c r="D40" s="67">
        <f>IF(Tool!$E44="Copy",Tool!D44,NA())</f>
        <v>1.8112949085389876</v>
      </c>
    </row>
    <row r="41" spans="1:4" x14ac:dyDescent="0.25">
      <c r="A41" s="66">
        <f>IF(Tool!$E45="Copy",Tool!A45,NA())</f>
        <v>0.13541666666666666</v>
      </c>
      <c r="B41" s="62">
        <f>IF(Tool!$E45="Copy",Tool!B45,NA())</f>
        <v>0.15094124237824816</v>
      </c>
      <c r="C41" s="62">
        <f>IF(Tool!$E45="Copy",Tool!C45,NA())</f>
        <v>5.1187948821523452</v>
      </c>
      <c r="D41" s="67">
        <f>IF(Tool!$E45="Copy",Tool!D45,NA())</f>
        <v>1.811294908538978</v>
      </c>
    </row>
    <row r="42" spans="1:4" x14ac:dyDescent="0.25">
      <c r="A42" s="66">
        <f>IF(Tool!$E46="Copy",Tool!A46,NA())</f>
        <v>0.13888888888888887</v>
      </c>
      <c r="B42" s="62">
        <f>IF(Tool!$E46="Copy",Tool!B46,NA())</f>
        <v>0.15094124237824816</v>
      </c>
      <c r="C42" s="62">
        <f>IF(Tool!$E46="Copy",Tool!C46,NA())</f>
        <v>5.2697361245305938</v>
      </c>
      <c r="D42" s="67">
        <f>IF(Tool!$E46="Copy",Tool!D46,NA())</f>
        <v>1.811294908538978</v>
      </c>
    </row>
    <row r="43" spans="1:4" x14ac:dyDescent="0.25">
      <c r="A43" s="66">
        <f>IF(Tool!$E47="Copy",Tool!A47,NA())</f>
        <v>0.14236111111111108</v>
      </c>
      <c r="B43" s="62">
        <f>IF(Tool!$E47="Copy",Tool!B47,NA())</f>
        <v>0.15282800790797685</v>
      </c>
      <c r="C43" s="62">
        <f>IF(Tool!$E47="Copy",Tool!C47,NA())</f>
        <v>5.4225641324385707</v>
      </c>
      <c r="D43" s="67">
        <f>IF(Tool!$E47="Copy",Tool!D47,NA())</f>
        <v>1.8339360948957222</v>
      </c>
    </row>
    <row r="44" spans="1:4" x14ac:dyDescent="0.25">
      <c r="A44" s="66">
        <f>IF(Tool!$E48="Copy",Tool!A48,NA())</f>
        <v>0.14583333333333329</v>
      </c>
      <c r="B44" s="62">
        <f>IF(Tool!$E48="Copy",Tool!B48,NA())</f>
        <v>0.15754492173229659</v>
      </c>
      <c r="C44" s="62">
        <f>IF(Tool!$E48="Copy",Tool!C48,NA())</f>
        <v>5.5801090541708671</v>
      </c>
      <c r="D44" s="67">
        <f>IF(Tool!$E48="Copy",Tool!D48,NA())</f>
        <v>1.890539060787559</v>
      </c>
    </row>
    <row r="45" spans="1:4" x14ac:dyDescent="0.25">
      <c r="A45" s="66">
        <f>IF(Tool!$E49="Copy",Tool!A49,NA())</f>
        <v>0.1493055555555555</v>
      </c>
      <c r="B45" s="62">
        <f>IF(Tool!$E49="Copy",Tool!B49,NA())</f>
        <v>0.16509198385120896</v>
      </c>
      <c r="C45" s="62">
        <f>IF(Tool!$E49="Copy",Tool!C49,NA())</f>
        <v>5.7452010380220759</v>
      </c>
      <c r="D45" s="67">
        <f>IF(Tool!$E49="Copy",Tool!D49,NA())</f>
        <v>1.9811038062145077</v>
      </c>
    </row>
    <row r="46" spans="1:4" x14ac:dyDescent="0.25">
      <c r="A46" s="66">
        <f>IF(Tool!$E50="Copy",Tool!A50,NA())</f>
        <v>0.15277777777777771</v>
      </c>
      <c r="B46" s="62">
        <f>IF(Tool!$E50="Copy",Tool!B50,NA())</f>
        <v>0.1698088976755287</v>
      </c>
      <c r="C46" s="62">
        <f>IF(Tool!$E50="Copy",Tool!C50,NA())</f>
        <v>5.9150099356976042</v>
      </c>
      <c r="D46" s="67">
        <f>IF(Tool!$E50="Copy",Tool!D50,NA())</f>
        <v>2.0377067721063442</v>
      </c>
    </row>
    <row r="47" spans="1:4" x14ac:dyDescent="0.25">
      <c r="A47" s="66">
        <f>IF(Tool!$E51="Copy",Tool!A51,NA())</f>
        <v>0.15624999999999992</v>
      </c>
      <c r="B47" s="62">
        <f>IF(Tool!$E51="Copy",Tool!B51,NA())</f>
        <v>0.16603536661607371</v>
      </c>
      <c r="C47" s="62">
        <f>IF(Tool!$E51="Copy",Tool!C51,NA())</f>
        <v>6.0810453023136777</v>
      </c>
      <c r="D47" s="67">
        <f>IF(Tool!$E51="Copy",Tool!D51,NA())</f>
        <v>1.9924243993928845</v>
      </c>
    </row>
    <row r="48" spans="1:4" x14ac:dyDescent="0.25">
      <c r="A48" s="66">
        <f>IF(Tool!$E52="Copy",Tool!A52,NA())</f>
        <v>0.15972222222222213</v>
      </c>
      <c r="B48" s="62">
        <f>IF(Tool!$E52="Copy",Tool!B52,NA())</f>
        <v>0.17075228044039265</v>
      </c>
      <c r="C48" s="62">
        <f>IF(Tool!$E52="Copy",Tool!C52,NA())</f>
        <v>6.2517975827540706</v>
      </c>
      <c r="D48" s="67">
        <f>IF(Tool!$E52="Copy",Tool!D52,NA())</f>
        <v>2.0490273652847115</v>
      </c>
    </row>
    <row r="49" spans="1:4" x14ac:dyDescent="0.25">
      <c r="A49" s="66">
        <f>IF(Tool!$E53="Copy",Tool!A53,NA())</f>
        <v>0.16319444444444434</v>
      </c>
      <c r="B49" s="62">
        <f>IF(Tool!$E53="Copy",Tool!B53,NA())</f>
        <v>0.17452581149985003</v>
      </c>
      <c r="C49" s="62">
        <f>IF(Tool!$E53="Copy",Tool!C53,NA())</f>
        <v>6.4263233942539202</v>
      </c>
      <c r="D49" s="67">
        <f>IF(Tool!$E53="Copy",Tool!D53,NA())</f>
        <v>2.0943097379982003</v>
      </c>
    </row>
    <row r="50" spans="1:4" x14ac:dyDescent="0.25">
      <c r="A50" s="66">
        <f>IF(Tool!$E54="Copy",Tool!A54,NA())</f>
        <v>0.16666666666666655</v>
      </c>
      <c r="B50" s="62">
        <f>IF(Tool!$E54="Copy",Tool!B54,NA())</f>
        <v>0.17452581149985003</v>
      </c>
      <c r="C50" s="62">
        <f>IF(Tool!$E54="Copy",Tool!C54,NA())</f>
        <v>6.6008492057537698</v>
      </c>
      <c r="D50" s="67">
        <f>IF(Tool!$E54="Copy",Tool!D54,NA())</f>
        <v>2.0943097379982003</v>
      </c>
    </row>
    <row r="51" spans="1:4" x14ac:dyDescent="0.25">
      <c r="A51" s="66">
        <f>IF(Tool!$E55="Copy",Tool!A55,NA())</f>
        <v>0.17013888888888876</v>
      </c>
      <c r="B51" s="62">
        <f>IF(Tool!$E55="Copy",Tool!B55,NA())</f>
        <v>0.17452581149984922</v>
      </c>
      <c r="C51" s="62">
        <f>IF(Tool!$E55="Copy",Tool!C55,NA())</f>
        <v>6.7753750172536193</v>
      </c>
      <c r="D51" s="67">
        <f>IF(Tool!$E55="Copy",Tool!D55,NA())</f>
        <v>2.0943097379981905</v>
      </c>
    </row>
    <row r="52" spans="1:4" x14ac:dyDescent="0.25">
      <c r="A52" s="66">
        <f>IF(Tool!$E56="Copy",Tool!A56,NA())</f>
        <v>0.17361111111111097</v>
      </c>
      <c r="B52" s="62">
        <f>IF(Tool!$E56="Copy",Tool!B56,NA())</f>
        <v>0.17452581149984922</v>
      </c>
      <c r="C52" s="62">
        <f>IF(Tool!$E56="Copy",Tool!C56,NA())</f>
        <v>6.9499008287534689</v>
      </c>
      <c r="D52" s="67">
        <f>IF(Tool!$E56="Copy",Tool!D56,NA())</f>
        <v>2.0943097379981905</v>
      </c>
    </row>
    <row r="53" spans="1:4" x14ac:dyDescent="0.25">
      <c r="A53" s="66">
        <f>IF(Tool!$E57="Copy",Tool!A57,NA())</f>
        <v>0.17708333333333318</v>
      </c>
      <c r="B53" s="62">
        <f>IF(Tool!$E57="Copy",Tool!B57,NA())</f>
        <v>0.1782993425593066</v>
      </c>
      <c r="C53" s="62">
        <f>IF(Tool!$E57="Copy",Tool!C57,NA())</f>
        <v>7.1282001713127752</v>
      </c>
      <c r="D53" s="67">
        <f>IF(Tool!$E57="Copy",Tool!D57,NA())</f>
        <v>2.1395921107116793</v>
      </c>
    </row>
    <row r="54" spans="1:4" x14ac:dyDescent="0.25">
      <c r="A54" s="66">
        <f>IF(Tool!$E58="Copy",Tool!A58,NA())</f>
        <v>0.18055555555555539</v>
      </c>
      <c r="B54" s="62">
        <f>IF(Tool!$E58="Copy",Tool!B58,NA())</f>
        <v>0.18207287361876082</v>
      </c>
      <c r="C54" s="62">
        <f>IF(Tool!$E58="Copy",Tool!C58,NA())</f>
        <v>7.3102730449315363</v>
      </c>
      <c r="D54" s="67">
        <f>IF(Tool!$E58="Copy",Tool!D58,NA())</f>
        <v>2.1848744834251299</v>
      </c>
    </row>
    <row r="55" spans="1:4" x14ac:dyDescent="0.25">
      <c r="A55" s="66">
        <f>IF(Tool!$E59="Copy",Tool!A59,NA())</f>
        <v>0.1840277777777776</v>
      </c>
      <c r="B55" s="62">
        <f>IF(Tool!$E59="Copy",Tool!B59,NA())</f>
        <v>0.18395963914849028</v>
      </c>
      <c r="C55" s="62">
        <f>IF(Tool!$E59="Copy",Tool!C59,NA())</f>
        <v>7.4942326840800266</v>
      </c>
      <c r="D55" s="67">
        <f>IF(Tool!$E59="Copy",Tool!D59,NA())</f>
        <v>2.2075156697818832</v>
      </c>
    </row>
    <row r="56" spans="1:4" x14ac:dyDescent="0.25">
      <c r="A56" s="66">
        <f>IF(Tool!$E60="Copy",Tool!A60,NA())</f>
        <v>0.18749999999999981</v>
      </c>
      <c r="B56" s="62">
        <f>IF(Tool!$E60="Copy",Tool!B60,NA())</f>
        <v>0.18490302191335581</v>
      </c>
      <c r="C56" s="62">
        <f>IF(Tool!$E60="Copy",Tool!C60,NA())</f>
        <v>7.6791357059933825</v>
      </c>
      <c r="D56" s="67">
        <f>IF(Tool!$E60="Copy",Tool!D60,NA())</f>
        <v>2.2188362629602696</v>
      </c>
    </row>
    <row r="57" spans="1:4" x14ac:dyDescent="0.25">
      <c r="A57" s="66">
        <f>IF(Tool!$E61="Copy",Tool!A61,NA())</f>
        <v>0.19097222222222202</v>
      </c>
      <c r="B57" s="62">
        <f>IF(Tool!$E61="Copy",Tool!B61,NA())</f>
        <v>0.18867655297281002</v>
      </c>
      <c r="C57" s="62">
        <f>IF(Tool!$E61="Copy",Tool!C61,NA())</f>
        <v>7.8678122589661923</v>
      </c>
      <c r="D57" s="67">
        <f>IF(Tool!$E61="Copy",Tool!D61,NA())</f>
        <v>2.2641186356737202</v>
      </c>
    </row>
    <row r="58" spans="1:4" x14ac:dyDescent="0.25">
      <c r="A58" s="66">
        <f>IF(Tool!$E62="Copy",Tool!A62,NA())</f>
        <v>0.19444444444444423</v>
      </c>
      <c r="B58" s="62">
        <f>IF(Tool!$E62="Copy",Tool!B62,NA())</f>
        <v>0.19339346679712976</v>
      </c>
      <c r="C58" s="62">
        <f>IF(Tool!$E62="Copy",Tool!C62,NA())</f>
        <v>8.0612057257633225</v>
      </c>
      <c r="D58" s="67">
        <f>IF(Tool!$E62="Copy",Tool!D62,NA())</f>
        <v>2.3207216015655572</v>
      </c>
    </row>
    <row r="59" spans="1:4" x14ac:dyDescent="0.25">
      <c r="A59" s="66">
        <f>IF(Tool!$E63="Copy",Tool!A63,NA())</f>
        <v>0.19791666666666644</v>
      </c>
      <c r="B59" s="62">
        <f>IF(Tool!$E63="Copy",Tool!B63,NA())</f>
        <v>0.19716699785658712</v>
      </c>
      <c r="C59" s="62">
        <f>IF(Tool!$E63="Copy",Tool!C63,NA())</f>
        <v>8.2583727236199103</v>
      </c>
      <c r="D59" s="67">
        <f>IF(Tool!$E63="Copy",Tool!D63,NA())</f>
        <v>2.3660039742790455</v>
      </c>
    </row>
    <row r="60" spans="1:4" x14ac:dyDescent="0.25">
      <c r="A60" s="66">
        <f>IF(Tool!$E64="Copy",Tool!A64,NA())</f>
        <v>0.20138888888888865</v>
      </c>
      <c r="B60" s="62">
        <f>IF(Tool!$E64="Copy",Tool!B64,NA())</f>
        <v>0.20094052891604292</v>
      </c>
      <c r="C60" s="62">
        <f>IF(Tool!$E64="Copy",Tool!C64,NA())</f>
        <v>8.4593132525359529</v>
      </c>
      <c r="D60" s="67">
        <f>IF(Tool!$E64="Copy",Tool!D64,NA())</f>
        <v>2.4112863469925152</v>
      </c>
    </row>
    <row r="61" spans="1:4" x14ac:dyDescent="0.25">
      <c r="A61" s="66">
        <f>IF(Tool!$E65="Copy",Tool!A65,NA())</f>
        <v>0.20486111111111086</v>
      </c>
      <c r="B61" s="62">
        <f>IF(Tool!$E65="Copy",Tool!B65,NA())</f>
        <v>0.20471405997550027</v>
      </c>
      <c r="C61" s="62">
        <f>IF(Tool!$E65="Copy",Tool!C65,NA())</f>
        <v>8.664027312511454</v>
      </c>
      <c r="D61" s="67">
        <f>IF(Tool!$E65="Copy",Tool!D65,NA())</f>
        <v>2.4565687197060031</v>
      </c>
    </row>
    <row r="62" spans="1:4" x14ac:dyDescent="0.25">
      <c r="A62" s="66">
        <f>IF(Tool!$E66="Copy",Tool!A66,NA())</f>
        <v>0.20833333333333307</v>
      </c>
      <c r="B62" s="62">
        <f>IF(Tool!$E66="Copy",Tool!B66,NA())</f>
        <v>0.20943097379981845</v>
      </c>
      <c r="C62" s="62">
        <f>IF(Tool!$E66="Copy",Tool!C66,NA())</f>
        <v>8.8734582863112728</v>
      </c>
      <c r="D62" s="67">
        <f>IF(Tool!$E66="Copy",Tool!D66,NA())</f>
        <v>2.5131716855978214</v>
      </c>
    </row>
    <row r="63" spans="1:4" x14ac:dyDescent="0.25">
      <c r="A63" s="66">
        <f>IF(Tool!$E67="Copy",Tool!A67,NA())</f>
        <v>0.21180555555555527</v>
      </c>
      <c r="B63" s="62">
        <f>IF(Tool!$E67="Copy",Tool!B67,NA())</f>
        <v>0.2169780359187316</v>
      </c>
      <c r="C63" s="62">
        <f>IF(Tool!$E67="Copy",Tool!C67,NA())</f>
        <v>9.0904363222300049</v>
      </c>
      <c r="D63" s="67">
        <f>IF(Tool!$E67="Copy",Tool!D67,NA())</f>
        <v>2.603736431024779</v>
      </c>
    </row>
    <row r="64" spans="1:4" x14ac:dyDescent="0.25">
      <c r="A64" s="66">
        <f>IF(Tool!$E68="Copy",Tool!A68,NA())</f>
        <v>0.21527777777777748</v>
      </c>
      <c r="B64" s="62">
        <f>IF(Tool!$E68="Copy",Tool!B68,NA())</f>
        <v>0.2216949497430529</v>
      </c>
      <c r="C64" s="62">
        <f>IF(Tool!$E68="Copy",Tool!C68,NA())</f>
        <v>9.3121312719730582</v>
      </c>
      <c r="D64" s="67">
        <f>IF(Tool!$E68="Copy",Tool!D68,NA())</f>
        <v>2.6603393969166347</v>
      </c>
    </row>
    <row r="65" spans="1:4" x14ac:dyDescent="0.25">
      <c r="A65" s="66">
        <f>IF(Tool!$E69="Copy",Tool!A69,NA())</f>
        <v>0.21874999999999969</v>
      </c>
      <c r="B65" s="62">
        <f>IF(Tool!$E69="Copy",Tool!B69,NA())</f>
        <v>0.2254684808025087</v>
      </c>
      <c r="C65" s="62">
        <f>IF(Tool!$E69="Copy",Tool!C69,NA())</f>
        <v>9.5375997527755665</v>
      </c>
      <c r="D65" s="67">
        <f>IF(Tool!$E69="Copy",Tool!D69,NA())</f>
        <v>2.7056217696301044</v>
      </c>
    </row>
    <row r="66" spans="1:4" x14ac:dyDescent="0.25">
      <c r="A66" s="66">
        <f>IF(Tool!$E70="Copy",Tool!A70,NA())</f>
        <v>0.2222222222222219</v>
      </c>
      <c r="B66" s="62">
        <f>IF(Tool!$E70="Copy",Tool!B70,NA())</f>
        <v>0.22924201186196291</v>
      </c>
      <c r="C66" s="62">
        <f>IF(Tool!$E70="Copy",Tool!C70,NA())</f>
        <v>9.7668417646375296</v>
      </c>
      <c r="D66" s="67">
        <f>IF(Tool!$E70="Copy",Tool!D70,NA())</f>
        <v>2.750904142343555</v>
      </c>
    </row>
    <row r="67" spans="1:4" x14ac:dyDescent="0.25">
      <c r="A67" s="66">
        <f>IF(Tool!$E71="Copy",Tool!A71,NA())</f>
        <v>0.22569444444444411</v>
      </c>
      <c r="B67" s="62">
        <f>IF(Tool!$E71="Copy",Tool!B71,NA())</f>
        <v>0.23301554292142185</v>
      </c>
      <c r="C67" s="62">
        <f>IF(Tool!$E71="Copy",Tool!C71,NA())</f>
        <v>9.9998573075589512</v>
      </c>
      <c r="D67" s="67">
        <f>IF(Tool!$E71="Copy",Tool!D71,NA())</f>
        <v>2.7961865150570624</v>
      </c>
    </row>
    <row r="68" spans="1:4" x14ac:dyDescent="0.25">
      <c r="A68" s="66">
        <f>IF(Tool!$E72="Copy",Tool!A72,NA())</f>
        <v>0.22916666666666632</v>
      </c>
      <c r="B68" s="62">
        <f>IF(Tool!$E72="Copy",Tool!B72,NA())</f>
        <v>0.23490230845114818</v>
      </c>
      <c r="C68" s="62">
        <f>IF(Tool!$E72="Copy",Tool!C72,NA())</f>
        <v>10.2347596160101</v>
      </c>
      <c r="D68" s="67">
        <f>IF(Tool!$E72="Copy",Tool!D72,NA())</f>
        <v>2.8188277014137784</v>
      </c>
    </row>
    <row r="69" spans="1:4" x14ac:dyDescent="0.25">
      <c r="A69" s="66">
        <f>IF(Tool!$E73="Copy",Tool!A73,NA())</f>
        <v>0.23263888888888853</v>
      </c>
      <c r="B69" s="62">
        <f>IF(Tool!$E73="Copy",Tool!B73,NA())</f>
        <v>0.23112877739169396</v>
      </c>
      <c r="C69" s="62">
        <f>IF(Tool!$E73="Copy",Tool!C73,NA())</f>
        <v>10.465888393401794</v>
      </c>
      <c r="D69" s="67">
        <f>IF(Tool!$E73="Copy",Tool!D73,NA())</f>
        <v>2.7735453287003278</v>
      </c>
    </row>
    <row r="70" spans="1:4" x14ac:dyDescent="0.25">
      <c r="A70" s="66">
        <f>IF(Tool!$E74="Copy",Tool!A74,NA())</f>
        <v>0.23611111111111074</v>
      </c>
      <c r="B70" s="62">
        <f>IF(Tool!$E74="Copy",Tool!B74,NA())</f>
        <v>0.24056260504033344</v>
      </c>
      <c r="C70" s="62">
        <f>IF(Tool!$E74="Copy",Tool!C74,NA())</f>
        <v>10.706450998442127</v>
      </c>
      <c r="D70" s="67">
        <f>IF(Tool!$E74="Copy",Tool!D74,NA())</f>
        <v>2.8867512604840013</v>
      </c>
    </row>
    <row r="71" spans="1:4" x14ac:dyDescent="0.25">
      <c r="A71" s="66">
        <f>IF(Tool!$E75="Copy",Tool!A75,NA())</f>
        <v>0.23958333333333295</v>
      </c>
      <c r="B71" s="62">
        <f>IF(Tool!$E75="Copy",Tool!B75,NA())</f>
        <v>0.24433613609978924</v>
      </c>
      <c r="C71" s="62">
        <f>IF(Tool!$E75="Copy",Tool!C75,NA())</f>
        <v>10.950787134541917</v>
      </c>
      <c r="D71" s="67">
        <f>IF(Tool!$E75="Copy",Tool!D75,NA())</f>
        <v>2.932033633197471</v>
      </c>
    </row>
    <row r="72" spans="1:4" x14ac:dyDescent="0.25">
      <c r="A72" s="66">
        <f>IF(Tool!$E76="Copy",Tool!A76,NA())</f>
        <v>0.24305555555555516</v>
      </c>
      <c r="B72" s="62">
        <f>IF(Tool!$E76="Copy",Tool!B76,NA())</f>
        <v>0.24810966715924659</v>
      </c>
      <c r="C72" s="62">
        <f>IF(Tool!$E76="Copy",Tool!C76,NA())</f>
        <v>11.198896801701164</v>
      </c>
      <c r="D72" s="67">
        <f>IF(Tool!$E76="Copy",Tool!D76,NA())</f>
        <v>2.9773160059109589</v>
      </c>
    </row>
    <row r="73" spans="1:4" x14ac:dyDescent="0.25">
      <c r="A73" s="66">
        <f>IF(Tool!$E77="Copy",Tool!A77,NA())</f>
        <v>0.24652777777777737</v>
      </c>
      <c r="B73" s="62">
        <f>IF(Tool!$E77="Copy",Tool!B77,NA())</f>
        <v>0.2537699637484287</v>
      </c>
      <c r="C73" s="62">
        <f>IF(Tool!$E77="Copy",Tool!C77,NA())</f>
        <v>11.452666765449592</v>
      </c>
      <c r="D73" s="67">
        <f>IF(Tool!$E77="Copy",Tool!D77,NA())</f>
        <v>3.0452395649811441</v>
      </c>
    </row>
    <row r="74" spans="1:4" x14ac:dyDescent="0.25">
      <c r="A74" s="66">
        <f>IF(Tool!$E78="Copy",Tool!A78,NA())</f>
        <v>0.24999999999999958</v>
      </c>
      <c r="B74" s="62">
        <f>IF(Tool!$E78="Copy",Tool!B78,NA())</f>
        <v>0.26414717416193373</v>
      </c>
      <c r="C74" s="62">
        <f>IF(Tool!$E78="Copy",Tool!C78,NA())</f>
        <v>11.716813939611527</v>
      </c>
      <c r="D74" s="67">
        <f>IF(Tool!$E78="Copy",Tool!D78,NA())</f>
        <v>3.169766089943205</v>
      </c>
    </row>
    <row r="75" spans="1:4" x14ac:dyDescent="0.25">
      <c r="A75" s="66">
        <f>IF(Tool!$E79="Copy",Tool!A79,NA())</f>
        <v>0.25347222222222182</v>
      </c>
      <c r="B75" s="62">
        <f>IF(Tool!$E79="Copy",Tool!B79,NA())</f>
        <v>0.2830148294592158</v>
      </c>
      <c r="C75" s="62">
        <f>IF(Tool!$E79="Copy",Tool!C79,NA())</f>
        <v>11.999828769070742</v>
      </c>
      <c r="D75" s="67">
        <f>IF(Tool!$E79="Copy",Tool!D79,NA())</f>
        <v>3.3961779535105894</v>
      </c>
    </row>
    <row r="76" spans="1:4" x14ac:dyDescent="0.25">
      <c r="A76" s="66">
        <f>IF(Tool!$E80="Copy",Tool!A80,NA())</f>
        <v>0.25694444444444403</v>
      </c>
      <c r="B76" s="62">
        <f>IF(Tool!$E80="Copy",Tool!B80,NA())</f>
        <v>0.28773174328353557</v>
      </c>
      <c r="C76" s="62">
        <f>IF(Tool!$E80="Copy",Tool!C80,NA())</f>
        <v>12.287560512354277</v>
      </c>
      <c r="D76" s="67">
        <f>IF(Tool!$E80="Copy",Tool!D80,NA())</f>
        <v>3.4527809194024268</v>
      </c>
    </row>
    <row r="77" spans="1:4" x14ac:dyDescent="0.25">
      <c r="A77" s="66">
        <f>IF(Tool!$E81="Copy",Tool!A81,NA())</f>
        <v>0.26041666666666624</v>
      </c>
      <c r="B77" s="62">
        <f>IF(Tool!$E81="Copy",Tool!B81,NA())</f>
        <v>0.29150527434299289</v>
      </c>
      <c r="C77" s="62">
        <f>IF(Tool!$E81="Copy",Tool!C81,NA())</f>
        <v>12.579065786697271</v>
      </c>
      <c r="D77" s="67">
        <f>IF(Tool!$E81="Copy",Tool!D81,NA())</f>
        <v>3.4980632921159147</v>
      </c>
    </row>
    <row r="78" spans="1:4" x14ac:dyDescent="0.25">
      <c r="A78" s="66">
        <f>IF(Tool!$E82="Copy",Tool!A82,NA())</f>
        <v>0.26388888888888845</v>
      </c>
      <c r="B78" s="62">
        <f>IF(Tool!$E82="Copy",Tool!B82,NA())</f>
        <v>0.29527880540244716</v>
      </c>
      <c r="C78" s="62">
        <f>IF(Tool!$E82="Copy",Tool!C82,NA())</f>
        <v>12.874344592099717</v>
      </c>
      <c r="D78" s="67">
        <f>IF(Tool!$E82="Copy",Tool!D82,NA())</f>
        <v>3.5433456648293662</v>
      </c>
    </row>
    <row r="79" spans="1:4" x14ac:dyDescent="0.25">
      <c r="A79" s="66">
        <f>IF(Tool!$E83="Copy",Tool!A83,NA())</f>
        <v>0.26736111111111066</v>
      </c>
      <c r="B79" s="62">
        <f>IF(Tool!$E83="Copy",Tool!B83,NA())</f>
        <v>0.29905233646190449</v>
      </c>
      <c r="C79" s="62">
        <f>IF(Tool!$E83="Copy",Tool!C83,NA())</f>
        <v>13.173396928561623</v>
      </c>
      <c r="D79" s="67">
        <f>IF(Tool!$E83="Copy",Tool!D83,NA())</f>
        <v>3.5886280375428541</v>
      </c>
    </row>
    <row r="80" spans="1:4" x14ac:dyDescent="0.25">
      <c r="A80" s="66">
        <f>IF(Tool!$E84="Copy",Tool!A84,NA())</f>
        <v>0.27083333333333287</v>
      </c>
      <c r="B80" s="62">
        <f>IF(Tool!$E84="Copy",Tool!B84,NA())</f>
        <v>0.2971655709321766</v>
      </c>
      <c r="C80" s="62">
        <f>IF(Tool!$E84="Copy",Tool!C84,NA())</f>
        <v>13.470562499493798</v>
      </c>
      <c r="D80" s="67">
        <f>IF(Tool!$E84="Copy",Tool!D84,NA())</f>
        <v>3.5659868511861195</v>
      </c>
    </row>
    <row r="81" spans="1:4" x14ac:dyDescent="0.25">
      <c r="A81" s="66">
        <f>IF(Tool!$E85="Copy",Tool!A85,NA())</f>
        <v>0.27430555555555508</v>
      </c>
      <c r="B81" s="62">
        <f>IF(Tool!$E85="Copy",Tool!B85,NA())</f>
        <v>0.27829791563489609</v>
      </c>
      <c r="C81" s="62">
        <f>IF(Tool!$E85="Copy",Tool!C85,NA())</f>
        <v>13.748860415128695</v>
      </c>
      <c r="D81" s="67">
        <f>IF(Tool!$E85="Copy",Tool!D85,NA())</f>
        <v>3.3395749876187528</v>
      </c>
    </row>
    <row r="82" spans="1:4" x14ac:dyDescent="0.25">
      <c r="A82" s="66">
        <f>IF(Tool!$E86="Copy",Tool!A86,NA())</f>
        <v>0.27777777777777729</v>
      </c>
      <c r="B82" s="62">
        <f>IF(Tool!$E86="Copy",Tool!B86,NA())</f>
        <v>0.27829791563489448</v>
      </c>
      <c r="C82" s="62">
        <f>IF(Tool!$E86="Copy",Tool!C86,NA())</f>
        <v>14.027158330763589</v>
      </c>
      <c r="D82" s="67">
        <f>IF(Tool!$E86="Copy",Tool!D86,NA())</f>
        <v>3.3395749876187337</v>
      </c>
    </row>
    <row r="83" spans="1:4" x14ac:dyDescent="0.25">
      <c r="A83" s="66">
        <f>IF(Tool!$E87="Copy",Tool!A87,NA())</f>
        <v>0.2812499999999995</v>
      </c>
      <c r="B83" s="62">
        <f>IF(Tool!$E87="Copy",Tool!B87,NA())</f>
        <v>0.28584497775380924</v>
      </c>
      <c r="C83" s="62">
        <f>IF(Tool!$E87="Copy",Tool!C87,NA())</f>
        <v>14.313003308517398</v>
      </c>
      <c r="D83" s="67">
        <f>IF(Tool!$E87="Copy",Tool!D87,NA())</f>
        <v>3.4301397330457108</v>
      </c>
    </row>
    <row r="84" spans="1:4" x14ac:dyDescent="0.25">
      <c r="A84" s="66">
        <f>IF(Tool!$E88="Copy",Tool!A88,NA())</f>
        <v>0.28472222222222171</v>
      </c>
      <c r="B84" s="62">
        <f>IF(Tool!$E88="Copy",Tool!B88,NA())</f>
        <v>0.29622218816731111</v>
      </c>
      <c r="C84" s="62">
        <f>IF(Tool!$E88="Copy",Tool!C88,NA())</f>
        <v>14.60922549668471</v>
      </c>
      <c r="D84" s="67">
        <f>IF(Tool!$E88="Copy",Tool!D88,NA())</f>
        <v>3.5546662580077335</v>
      </c>
    </row>
    <row r="85" spans="1:4" x14ac:dyDescent="0.25">
      <c r="A85" s="66">
        <f>IF(Tool!$E89="Copy",Tool!A89,NA())</f>
        <v>0.28819444444444392</v>
      </c>
      <c r="B85" s="62">
        <f>IF(Tool!$E89="Copy",Tool!B89,NA())</f>
        <v>0.30754278134568158</v>
      </c>
      <c r="C85" s="62">
        <f>IF(Tool!$E89="Copy",Tool!C89,NA())</f>
        <v>14.916768278030391</v>
      </c>
      <c r="D85" s="67">
        <f>IF(Tool!$E89="Copy",Tool!D89,NA())</f>
        <v>3.690513376148179</v>
      </c>
    </row>
    <row r="86" spans="1:4" x14ac:dyDescent="0.25">
      <c r="A86" s="66">
        <f>IF(Tool!$E90="Copy",Tool!A90,NA())</f>
        <v>0.29166666666666613</v>
      </c>
      <c r="B86" s="62">
        <f>IF(Tool!$E90="Copy",Tool!B90,NA())</f>
        <v>0.32075014005377689</v>
      </c>
      <c r="C86" s="62">
        <f>IF(Tool!$E90="Copy",Tool!C90,NA())</f>
        <v>15.237518418084168</v>
      </c>
      <c r="D86" s="67">
        <f>IF(Tool!$E90="Copy",Tool!D90,NA())</f>
        <v>3.8490016806453227</v>
      </c>
    </row>
    <row r="87" spans="1:4" x14ac:dyDescent="0.25">
      <c r="A87" s="66">
        <f>IF(Tool!$E91="Copy",Tool!A91,NA())</f>
        <v>0.29513888888888834</v>
      </c>
      <c r="B87" s="62">
        <f>IF(Tool!$E91="Copy",Tool!B91,NA())</f>
        <v>0.33961779535105896</v>
      </c>
      <c r="C87" s="62">
        <f>IF(Tool!$E91="Copy",Tool!C91,NA())</f>
        <v>15.577136213435226</v>
      </c>
      <c r="D87" s="67">
        <f>IF(Tool!$E91="Copy",Tool!D91,NA())</f>
        <v>4.075413544212708</v>
      </c>
    </row>
    <row r="88" spans="1:4" x14ac:dyDescent="0.25">
      <c r="A88" s="66">
        <f>IF(Tool!$E92="Copy",Tool!A92,NA())</f>
        <v>0.29861111111111055</v>
      </c>
      <c r="B88" s="62">
        <f>IF(Tool!$E92="Copy",Tool!B92,NA())</f>
        <v>0.36320236447265769</v>
      </c>
      <c r="C88" s="62">
        <f>IF(Tool!$E92="Copy",Tool!C92,NA())</f>
        <v>15.940338577907884</v>
      </c>
      <c r="D88" s="67">
        <f>IF(Tool!$E92="Copy",Tool!D92,NA())</f>
        <v>4.3584283736718925</v>
      </c>
    </row>
    <row r="89" spans="1:4" x14ac:dyDescent="0.25">
      <c r="A89" s="66">
        <f>IF(Tool!$E93="Copy",Tool!A93,NA())</f>
        <v>0.30208333333333276</v>
      </c>
      <c r="B89" s="62">
        <f>IF(Tool!$E93="Copy",Tool!B93,NA())</f>
        <v>0.3858435508293987</v>
      </c>
      <c r="C89" s="62">
        <f>IF(Tool!$E93="Copy",Tool!C93,NA())</f>
        <v>16.326182128737283</v>
      </c>
      <c r="D89" s="67">
        <f>IF(Tool!$E93="Copy",Tool!D93,NA())</f>
        <v>4.6301226099527844</v>
      </c>
    </row>
    <row r="90" spans="1:4" x14ac:dyDescent="0.25">
      <c r="A90" s="66">
        <f>IF(Tool!$E94="Copy",Tool!A94,NA())</f>
        <v>0.30555555555555497</v>
      </c>
      <c r="B90" s="62">
        <f>IF(Tool!$E94="Copy",Tool!B94,NA())</f>
        <v>0.41131488548072848</v>
      </c>
      <c r="C90" s="62">
        <f>IF(Tool!$E94="Copy",Tool!C94,NA())</f>
        <v>16.737497014218011</v>
      </c>
      <c r="D90" s="67">
        <f>IF(Tool!$E94="Copy",Tool!D94,NA())</f>
        <v>4.9357786257687417</v>
      </c>
    </row>
    <row r="91" spans="1:4" x14ac:dyDescent="0.25">
      <c r="A91" s="66">
        <f>IF(Tool!$E95="Copy",Tool!A95,NA())</f>
        <v>0.30902777777777718</v>
      </c>
      <c r="B91" s="62">
        <f>IF(Tool!$E95="Copy",Tool!B95,NA())</f>
        <v>0.43961636842664686</v>
      </c>
      <c r="C91" s="62">
        <f>IF(Tool!$E95="Copy",Tool!C95,NA())</f>
        <v>17.177113382644659</v>
      </c>
      <c r="D91" s="67">
        <f>IF(Tool!$E95="Copy",Tool!D95,NA())</f>
        <v>5.2753964211197619</v>
      </c>
    </row>
    <row r="92" spans="1:4" x14ac:dyDescent="0.25">
      <c r="A92" s="66">
        <f>IF(Tool!$E96="Copy",Tool!A96,NA())</f>
        <v>0.31249999999999939</v>
      </c>
      <c r="B92" s="62">
        <f>IF(Tool!$E96="Copy",Tool!B96,NA())</f>
        <v>0.57168995550761537</v>
      </c>
      <c r="C92" s="62">
        <f>IF(Tool!$E96="Copy",Tool!C96,NA())</f>
        <v>17.748803338152275</v>
      </c>
      <c r="D92" s="67">
        <f>IF(Tool!$E96="Copy",Tool!D96,NA())</f>
        <v>6.8602794660913844</v>
      </c>
    </row>
    <row r="93" spans="1:4" x14ac:dyDescent="0.25">
      <c r="A93" s="66">
        <f>IF(Tool!$E97="Copy",Tool!A97,NA())</f>
        <v>0.3159722222222216</v>
      </c>
      <c r="B93" s="62">
        <f>IF(Tool!$E97="Copy",Tool!B97,NA())</f>
        <v>1.0094195584045342</v>
      </c>
      <c r="C93" s="62">
        <f>IF(Tool!$E97="Copy",Tool!C97,NA())</f>
        <v>18.758222896556809</v>
      </c>
      <c r="D93" s="67">
        <f>IF(Tool!$E97="Copy",Tool!D97,NA())</f>
        <v>12.11303470085441</v>
      </c>
    </row>
    <row r="94" spans="1:4" x14ac:dyDescent="0.25">
      <c r="A94" s="66">
        <f>IF(Tool!$E98="Copy",Tool!A98,NA())</f>
        <v>0.31944444444444381</v>
      </c>
      <c r="B94" s="62">
        <f>IF(Tool!$E98="Copy",Tool!B98,NA())</f>
        <v>1.0990409210666219</v>
      </c>
      <c r="C94" s="62">
        <f>IF(Tool!$E98="Copy",Tool!C98,NA())</f>
        <v>19.85726381762343</v>
      </c>
      <c r="D94" s="67">
        <f>IF(Tool!$E98="Copy",Tool!D98,NA())</f>
        <v>13.188491052799463</v>
      </c>
    </row>
    <row r="95" spans="1:4" x14ac:dyDescent="0.25">
      <c r="A95" s="66">
        <f>IF(Tool!$E99="Copy",Tool!A99,NA())</f>
        <v>0.32291666666666602</v>
      </c>
      <c r="B95" s="62">
        <f>IF(Tool!$E99="Copy",Tool!B99,NA())</f>
        <v>1.1292291695422714</v>
      </c>
      <c r="C95" s="62">
        <f>IF(Tool!$E99="Copy",Tool!C99,NA())</f>
        <v>20.9864929871657</v>
      </c>
      <c r="D95" s="67">
        <f>IF(Tool!$E99="Copy",Tool!D99,NA())</f>
        <v>13.550750034507256</v>
      </c>
    </row>
    <row r="96" spans="1:4" x14ac:dyDescent="0.25">
      <c r="A96" s="66">
        <f>IF(Tool!$E100="Copy",Tool!A100,NA())</f>
        <v>0.32638888888888823</v>
      </c>
      <c r="B96" s="62">
        <f>IF(Tool!$E100="Copy",Tool!B100,NA())</f>
        <v>1.1282857867774074</v>
      </c>
      <c r="C96" s="62">
        <f>IF(Tool!$E100="Copy",Tool!C100,NA())</f>
        <v>22.114778773943108</v>
      </c>
      <c r="D96" s="67">
        <f>IF(Tool!$E100="Copy",Tool!D100,NA())</f>
        <v>13.539429441328888</v>
      </c>
    </row>
    <row r="97" spans="1:4" x14ac:dyDescent="0.25">
      <c r="A97" s="66">
        <f>IF(Tool!$E101="Copy",Tool!A101,NA())</f>
        <v>0.32986111111111044</v>
      </c>
      <c r="B97" s="62">
        <f>IF(Tool!$E101="Copy",Tool!B101,NA())</f>
        <v>1.0962107727720269</v>
      </c>
      <c r="C97" s="62">
        <f>IF(Tool!$E101="Copy",Tool!C101,NA())</f>
        <v>23.210989546715133</v>
      </c>
      <c r="D97" s="67">
        <f>IF(Tool!$E101="Copy",Tool!D101,NA())</f>
        <v>13.154529273264323</v>
      </c>
    </row>
    <row r="98" spans="1:4" x14ac:dyDescent="0.25">
      <c r="A98" s="66">
        <f>IF(Tool!$E102="Copy",Tool!A102,NA())</f>
        <v>0.33333333333333265</v>
      </c>
      <c r="B98" s="62">
        <f>IF(Tool!$E102="Copy",Tool!B102,NA())</f>
        <v>0.98111807545861274</v>
      </c>
      <c r="C98" s="62">
        <f>IF(Tool!$E102="Copy",Tool!C102,NA())</f>
        <v>24.192107622173747</v>
      </c>
      <c r="D98" s="67">
        <f>IF(Tool!$E102="Copy",Tool!D102,NA())</f>
        <v>11.773416905503353</v>
      </c>
    </row>
    <row r="99" spans="1:4" x14ac:dyDescent="0.25">
      <c r="A99" s="66">
        <f>IF(Tool!$E103="Copy",Tool!A103,NA())</f>
        <v>0.33680555555555486</v>
      </c>
      <c r="B99" s="62">
        <f>IF(Tool!$E103="Copy",Tool!B103,NA())</f>
        <v>0.67923559070211792</v>
      </c>
      <c r="C99" s="62">
        <f>IF(Tool!$E103="Copy",Tool!C103,NA())</f>
        <v>24.871343212875864</v>
      </c>
      <c r="D99" s="67">
        <f>IF(Tool!$E103="Copy",Tool!D103,NA())</f>
        <v>8.1508270884254159</v>
      </c>
    </row>
    <row r="100" spans="1:4" x14ac:dyDescent="0.25">
      <c r="A100" s="66">
        <f>IF(Tool!$E104="Copy",Tool!A104,NA())</f>
        <v>0.34027777777777707</v>
      </c>
      <c r="B100" s="62">
        <f>IF(Tool!$E104="Copy",Tool!B104,NA())</f>
        <v>0.58018040039139085</v>
      </c>
      <c r="C100" s="62">
        <f>IF(Tool!$E104="Copy",Tool!C104,NA())</f>
        <v>25.451523613267256</v>
      </c>
      <c r="D100" s="67">
        <f>IF(Tool!$E104="Copy",Tool!D104,NA())</f>
        <v>6.9621648046966902</v>
      </c>
    </row>
    <row r="101" spans="1:4" x14ac:dyDescent="0.25">
      <c r="A101" s="66">
        <f>IF(Tool!$E105="Copy",Tool!A105,NA())</f>
        <v>0.34374999999999928</v>
      </c>
      <c r="B101" s="62">
        <f>IF(Tool!$E105="Copy",Tool!B105,NA())</f>
        <v>0.51603037238063609</v>
      </c>
      <c r="C101" s="62">
        <f>IF(Tool!$E105="Copy",Tool!C105,NA())</f>
        <v>25.967553985647893</v>
      </c>
      <c r="D101" s="67">
        <f>IF(Tool!$E105="Copy",Tool!D105,NA())</f>
        <v>6.1923644685676331</v>
      </c>
    </row>
    <row r="102" spans="1:4" x14ac:dyDescent="0.25">
      <c r="A102" s="66">
        <f>IF(Tool!$E106="Copy",Tool!A106,NA())</f>
        <v>0.34722222222222149</v>
      </c>
      <c r="B102" s="62">
        <f>IF(Tool!$E106="Copy",Tool!B106,NA())</f>
        <v>0.4632009375482487</v>
      </c>
      <c r="C102" s="62">
        <f>IF(Tool!$E106="Copy",Tool!C106,NA())</f>
        <v>26.43075492319614</v>
      </c>
      <c r="D102" s="67">
        <f>IF(Tool!$E106="Copy",Tool!D106,NA())</f>
        <v>5.5584112505789847</v>
      </c>
    </row>
    <row r="103" spans="1:4" x14ac:dyDescent="0.25">
      <c r="A103" s="66">
        <f>IF(Tool!$E107="Copy",Tool!A107,NA())</f>
        <v>0.3506944444444437</v>
      </c>
      <c r="B103" s="62">
        <f>IF(Tool!$E107="Copy",Tool!B107,NA())</f>
        <v>0.4216920958942319</v>
      </c>
      <c r="C103" s="62">
        <f>IF(Tool!$E107="Copy",Tool!C107,NA())</f>
        <v>26.852447019090373</v>
      </c>
      <c r="D103" s="67">
        <f>IF(Tool!$E107="Copy",Tool!D107,NA())</f>
        <v>5.060305150730783</v>
      </c>
    </row>
    <row r="104" spans="1:4" x14ac:dyDescent="0.25">
      <c r="A104" s="66">
        <f>IF(Tool!$E108="Copy",Tool!A108,NA())</f>
        <v>0.35416666666666591</v>
      </c>
      <c r="B104" s="62">
        <f>IF(Tool!$E108="Copy",Tool!B108,NA())</f>
        <v>0.40188105783208583</v>
      </c>
      <c r="C104" s="62">
        <f>IF(Tool!$E108="Copy",Tool!C108,NA())</f>
        <v>27.254328076922459</v>
      </c>
      <c r="D104" s="67">
        <f>IF(Tool!$E108="Copy",Tool!D108,NA())</f>
        <v>4.8225726939850304</v>
      </c>
    </row>
    <row r="105" spans="1:4" x14ac:dyDescent="0.25">
      <c r="A105" s="66">
        <f>IF(Tool!$E109="Copy",Tool!A109,NA())</f>
        <v>0.35763888888888812</v>
      </c>
      <c r="B105" s="62">
        <f>IF(Tool!$E109="Copy",Tool!B109,NA())</f>
        <v>0.42452224418882373</v>
      </c>
      <c r="C105" s="62">
        <f>IF(Tool!$E109="Copy",Tool!C109,NA())</f>
        <v>27.678850321111284</v>
      </c>
      <c r="D105" s="67">
        <f>IF(Tool!$E109="Copy",Tool!D109,NA())</f>
        <v>5.094266930265885</v>
      </c>
    </row>
    <row r="106" spans="1:4" x14ac:dyDescent="0.25">
      <c r="A106" s="66">
        <f>IF(Tool!$E110="Copy",Tool!A110,NA())</f>
        <v>0.36111111111111033</v>
      </c>
      <c r="B106" s="62">
        <f>IF(Tool!$E110="Copy",Tool!B110,NA())</f>
        <v>0.40093767506722189</v>
      </c>
      <c r="C106" s="62">
        <f>IF(Tool!$E110="Copy",Tool!C110,NA())</f>
        <v>28.079787996178506</v>
      </c>
      <c r="D106" s="67">
        <f>IF(Tool!$E110="Copy",Tool!D110,NA())</f>
        <v>4.8112521008066622</v>
      </c>
    </row>
    <row r="107" spans="1:4" x14ac:dyDescent="0.25">
      <c r="A107" s="66">
        <f>IF(Tool!$E111="Copy",Tool!A111,NA())</f>
        <v>0.36458333333333254</v>
      </c>
      <c r="B107" s="62">
        <f>IF(Tool!$E111="Copy",Tool!B111,NA())</f>
        <v>0.38207001976993665</v>
      </c>
      <c r="C107" s="62">
        <f>IF(Tool!$E111="Copy",Tool!C111,NA())</f>
        <v>28.461858015948444</v>
      </c>
      <c r="D107" s="67">
        <f>IF(Tool!$E111="Copy",Tool!D111,NA())</f>
        <v>4.5848402372392396</v>
      </c>
    </row>
    <row r="108" spans="1:4" x14ac:dyDescent="0.25">
      <c r="A108" s="66">
        <f>IF(Tool!$E112="Copy",Tool!A112,NA())</f>
        <v>0.36805555555555475</v>
      </c>
      <c r="B108" s="62">
        <f>IF(Tool!$E112="Copy",Tool!B112,NA())</f>
        <v>0.36320236447266396</v>
      </c>
      <c r="C108" s="62">
        <f>IF(Tool!$E112="Copy",Tool!C112,NA())</f>
        <v>28.825060380421107</v>
      </c>
      <c r="D108" s="67">
        <f>IF(Tool!$E112="Copy",Tool!D112,NA())</f>
        <v>4.358428373671968</v>
      </c>
    </row>
    <row r="109" spans="1:4" x14ac:dyDescent="0.25">
      <c r="A109" s="66">
        <f>IF(Tool!$E113="Copy",Tool!A113,NA())</f>
        <v>0.37152777777777696</v>
      </c>
      <c r="B109" s="62">
        <f>IF(Tool!$E113="Copy",Tool!B113,NA())</f>
        <v>0.34433470917537873</v>
      </c>
      <c r="C109" s="62">
        <f>IF(Tool!$E113="Copy",Tool!C113,NA())</f>
        <v>29.169395089596485</v>
      </c>
      <c r="D109" s="67">
        <f>IF(Tool!$E113="Copy",Tool!D113,NA())</f>
        <v>4.1320165101045445</v>
      </c>
    </row>
    <row r="110" spans="1:4" x14ac:dyDescent="0.25">
      <c r="A110" s="66">
        <f>IF(Tool!$E114="Copy",Tool!A114,NA())</f>
        <v>0.37499999999999917</v>
      </c>
      <c r="B110" s="62">
        <f>IF(Tool!$E114="Copy",Tool!B114,NA())</f>
        <v>0.32641043664296371</v>
      </c>
      <c r="C110" s="62">
        <f>IF(Tool!$E114="Copy",Tool!C114,NA())</f>
        <v>29.495805526239447</v>
      </c>
      <c r="D110" s="67">
        <f>IF(Tool!$E114="Copy",Tool!D114,NA())</f>
        <v>3.9169252397155647</v>
      </c>
    </row>
    <row r="111" spans="1:4" x14ac:dyDescent="0.25">
      <c r="A111" s="66">
        <f>IF(Tool!$E115="Copy",Tool!A115,NA())</f>
        <v>0.37847222222222138</v>
      </c>
      <c r="B111" s="62">
        <f>IF(Tool!$E115="Copy",Tool!B115,NA())</f>
        <v>0.31131631240513424</v>
      </c>
      <c r="C111" s="62">
        <f>IF(Tool!$E115="Copy",Tool!C115,NA())</f>
        <v>29.80712183864458</v>
      </c>
      <c r="D111" s="67">
        <f>IF(Tool!$E115="Copy",Tool!D115,NA())</f>
        <v>3.7357957488616109</v>
      </c>
    </row>
    <row r="112" spans="1:4" x14ac:dyDescent="0.25">
      <c r="A112" s="66">
        <f>IF(Tool!$E116="Copy",Tool!A116,NA())</f>
        <v>0.38194444444444359</v>
      </c>
      <c r="B112" s="62">
        <f>IF(Tool!$E116="Copy",Tool!B116,NA())</f>
        <v>0.29716557093218132</v>
      </c>
      <c r="C112" s="62">
        <f>IF(Tool!$E116="Copy",Tool!C116,NA())</f>
        <v>30.104287409576763</v>
      </c>
      <c r="D112" s="67">
        <f>IF(Tool!$E116="Copy",Tool!D116,NA())</f>
        <v>3.5659868511861759</v>
      </c>
    </row>
    <row r="113" spans="1:4" x14ac:dyDescent="0.25">
      <c r="A113" s="66">
        <f>IF(Tool!$E117="Copy",Tool!A117,NA())</f>
        <v>0.3854166666666658</v>
      </c>
      <c r="B113" s="62">
        <f>IF(Tool!$E117="Copy",Tool!B117,NA())</f>
        <v>0.28584497775380768</v>
      </c>
      <c r="C113" s="62">
        <f>IF(Tool!$E117="Copy",Tool!C117,NA())</f>
        <v>30.390132387330571</v>
      </c>
      <c r="D113" s="67">
        <f>IF(Tool!$E117="Copy",Tool!D117,NA())</f>
        <v>3.4301397330456922</v>
      </c>
    </row>
    <row r="114" spans="1:4" x14ac:dyDescent="0.25">
      <c r="A114" s="66">
        <f>IF(Tool!$E118="Copy",Tool!A118,NA())</f>
        <v>0.38888888888888801</v>
      </c>
      <c r="B114" s="62">
        <f>IF(Tool!$E118="Copy",Tool!B118,NA())</f>
        <v>0.27452438457543399</v>
      </c>
      <c r="C114" s="62">
        <f>IF(Tool!$E118="Copy",Tool!C118,NA())</f>
        <v>30.664656771906003</v>
      </c>
      <c r="D114" s="67">
        <f>IF(Tool!$E118="Copy",Tool!D118,NA())</f>
        <v>3.2942926149052081</v>
      </c>
    </row>
    <row r="115" spans="1:4" x14ac:dyDescent="0.25">
      <c r="A115" s="66">
        <f>IF(Tool!$E119="Copy",Tool!A119,NA())</f>
        <v>0.39236111111111022</v>
      </c>
      <c r="B115" s="62">
        <f>IF(Tool!$E119="Copy",Tool!B119,NA())</f>
        <v>0.26320379139707289</v>
      </c>
      <c r="C115" s="62">
        <f>IF(Tool!$E119="Copy",Tool!C119,NA())</f>
        <v>30.927860563303074</v>
      </c>
      <c r="D115" s="67">
        <f>IF(Tool!$E119="Copy",Tool!D119,NA())</f>
        <v>3.158445496764875</v>
      </c>
    </row>
    <row r="116" spans="1:4" x14ac:dyDescent="0.25">
      <c r="A116" s="66">
        <f>IF(Tool!$E120="Copy",Tool!A120,NA())</f>
        <v>0.39583333333333243</v>
      </c>
      <c r="B116" s="62">
        <f>IF(Tool!$E120="Copy",Tool!B120,NA())</f>
        <v>0.2566001120430253</v>
      </c>
      <c r="C116" s="62">
        <f>IF(Tool!$E120="Copy",Tool!C120,NA())</f>
        <v>31.184460675346099</v>
      </c>
      <c r="D116" s="67">
        <f>IF(Tool!$E120="Copy",Tool!D120,NA())</f>
        <v>3.0792013445163038</v>
      </c>
    </row>
    <row r="117" spans="1:4" x14ac:dyDescent="0.25">
      <c r="A117" s="66">
        <f>IF(Tool!$E121="Copy",Tool!A121,NA())</f>
        <v>0.39930555555555464</v>
      </c>
      <c r="B117" s="62">
        <f>IF(Tool!$E121="Copy",Tool!B121,NA())</f>
        <v>0.26414717416193056</v>
      </c>
      <c r="C117" s="62">
        <f>IF(Tool!$E121="Copy",Tool!C121,NA())</f>
        <v>31.448607849508029</v>
      </c>
      <c r="D117" s="67">
        <f>IF(Tool!$E121="Copy",Tool!D121,NA())</f>
        <v>3.1697660899431668</v>
      </c>
    </row>
    <row r="118" spans="1:4" x14ac:dyDescent="0.25">
      <c r="A118" s="66">
        <f>IF(Tool!$E122="Copy",Tool!A122,NA())</f>
        <v>0.40277777777777685</v>
      </c>
      <c r="B118" s="62">
        <f>IF(Tool!$E122="Copy",Tool!B122,NA())</f>
        <v>0.26414717416193684</v>
      </c>
      <c r="C118" s="62">
        <f>IF(Tool!$E122="Copy",Tool!C122,NA())</f>
        <v>31.712755023669967</v>
      </c>
      <c r="D118" s="67">
        <f>IF(Tool!$E122="Copy",Tool!D122,NA())</f>
        <v>3.1697660899432423</v>
      </c>
    </row>
    <row r="119" spans="1:4" x14ac:dyDescent="0.25">
      <c r="A119" s="66">
        <f>IF(Tool!$E123="Copy",Tool!A123,NA())</f>
        <v>0.40624999999999906</v>
      </c>
      <c r="B119" s="62">
        <f>IF(Tool!$E123="Copy",Tool!B123,NA())</f>
        <v>0.25660011204301897</v>
      </c>
      <c r="C119" s="62">
        <f>IF(Tool!$E123="Copy",Tool!C123,NA())</f>
        <v>31.969355135712984</v>
      </c>
      <c r="D119" s="67">
        <f>IF(Tool!$E123="Copy",Tool!D123,NA())</f>
        <v>3.0792013445162274</v>
      </c>
    </row>
    <row r="120" spans="1:4" x14ac:dyDescent="0.25">
      <c r="A120" s="66">
        <f>IF(Tool!$E124="Copy",Tool!A124,NA())</f>
        <v>0.40972222222222127</v>
      </c>
      <c r="B120" s="62">
        <f>IF(Tool!$E124="Copy",Tool!B124,NA())</f>
        <v>0.2490530499241074</v>
      </c>
      <c r="C120" s="62">
        <f>IF(Tool!$E124="Copy",Tool!C124,NA())</f>
        <v>32.218408185637088</v>
      </c>
      <c r="D120" s="67">
        <f>IF(Tool!$E124="Copy",Tool!D124,NA())</f>
        <v>2.9886365990892889</v>
      </c>
    </row>
    <row r="121" spans="1:4" x14ac:dyDescent="0.25">
      <c r="A121" s="66">
        <f>IF(Tool!$E125="Copy",Tool!A125,NA())</f>
        <v>0.41319444444444348</v>
      </c>
      <c r="B121" s="62">
        <f>IF(Tool!$E125="Copy",Tool!B125,NA())</f>
        <v>0.2452795188646579</v>
      </c>
      <c r="C121" s="62">
        <f>IF(Tool!$E125="Copy",Tool!C125,NA())</f>
        <v>32.463687704501744</v>
      </c>
      <c r="D121" s="67">
        <f>IF(Tool!$E125="Copy",Tool!D125,NA())</f>
        <v>2.9433542263758947</v>
      </c>
    </row>
    <row r="122" spans="1:4" x14ac:dyDescent="0.25">
      <c r="A122" s="66">
        <f>IF(Tool!$E126="Copy",Tool!A126,NA())</f>
        <v>0.41666666666666569</v>
      </c>
      <c r="B122" s="62">
        <f>IF(Tool!$E126="Copy",Tool!B126,NA())</f>
        <v>0.24339275333492372</v>
      </c>
      <c r="C122" s="62">
        <f>IF(Tool!$E126="Copy",Tool!C126,NA())</f>
        <v>32.707080457836668</v>
      </c>
      <c r="D122" s="67">
        <f>IF(Tool!$E126="Copy",Tool!D126,NA())</f>
        <v>2.9207130400190846</v>
      </c>
    </row>
    <row r="123" spans="1:4" x14ac:dyDescent="0.25">
      <c r="A123" s="66">
        <f>IF(Tool!$E127="Copy",Tool!A127,NA())</f>
        <v>0.4201388888888879</v>
      </c>
      <c r="B123" s="62">
        <f>IF(Tool!$E127="Copy",Tool!B127,NA())</f>
        <v>0.23584569121601212</v>
      </c>
      <c r="C123" s="62">
        <f>IF(Tool!$E127="Copy",Tool!C127,NA())</f>
        <v>32.942926149052681</v>
      </c>
      <c r="D123" s="67">
        <f>IF(Tool!$E127="Copy",Tool!D127,NA())</f>
        <v>2.8301482945921457</v>
      </c>
    </row>
    <row r="124" spans="1:4" x14ac:dyDescent="0.25">
      <c r="A124" s="66">
        <f>IF(Tool!$E128="Copy",Tool!A128,NA())</f>
        <v>0.42361111111111011</v>
      </c>
      <c r="B124" s="62">
        <f>IF(Tool!$E128="Copy",Tool!B128,NA())</f>
        <v>0.22641186356737264</v>
      </c>
      <c r="C124" s="62">
        <f>IF(Tool!$E128="Copy",Tool!C128,NA())</f>
        <v>33.169338012620052</v>
      </c>
      <c r="D124" s="67">
        <f>IF(Tool!$E128="Copy",Tool!D128,NA())</f>
        <v>2.7169423628084717</v>
      </c>
    </row>
    <row r="125" spans="1:4" x14ac:dyDescent="0.25">
      <c r="A125" s="66">
        <f>IF(Tool!$E129="Copy",Tool!A129,NA())</f>
        <v>0.42708333333333232</v>
      </c>
      <c r="B125" s="62">
        <f>IF(Tool!$E129="Copy",Tool!B129,NA())</f>
        <v>0.22641186356737264</v>
      </c>
      <c r="C125" s="62">
        <f>IF(Tool!$E129="Copy",Tool!C129,NA())</f>
        <v>33.395749876187423</v>
      </c>
      <c r="D125" s="67">
        <f>IF(Tool!$E129="Copy",Tool!D129,NA())</f>
        <v>2.7169423628084717</v>
      </c>
    </row>
    <row r="126" spans="1:4" x14ac:dyDescent="0.25">
      <c r="A126" s="66">
        <f>IF(Tool!$E130="Copy",Tool!A130,NA())</f>
        <v>0.43055555555555453</v>
      </c>
      <c r="B126" s="62">
        <f>IF(Tool!$E130="Copy",Tool!B130,NA())</f>
        <v>0.22641186356737894</v>
      </c>
      <c r="C126" s="62">
        <f>IF(Tool!$E130="Copy",Tool!C130,NA())</f>
        <v>33.622161739754802</v>
      </c>
      <c r="D126" s="67">
        <f>IF(Tool!$E130="Copy",Tool!D130,NA())</f>
        <v>2.7169423628085472</v>
      </c>
    </row>
    <row r="127" spans="1:4" x14ac:dyDescent="0.25">
      <c r="A127" s="66">
        <f>IF(Tool!$E131="Copy",Tool!A131,NA())</f>
        <v>0.43402777777777674</v>
      </c>
      <c r="B127" s="62">
        <f>IF(Tool!$E131="Copy",Tool!B131,NA())</f>
        <v>0.22263833250791057</v>
      </c>
      <c r="C127" s="62">
        <f>IF(Tool!$E131="Copy",Tool!C131,NA())</f>
        <v>33.844800072262714</v>
      </c>
      <c r="D127" s="67">
        <f>IF(Tool!$E131="Copy",Tool!D131,NA())</f>
        <v>2.6716599900949269</v>
      </c>
    </row>
    <row r="128" spans="1:4" x14ac:dyDescent="0.25">
      <c r="A128" s="66">
        <f>IF(Tool!$E132="Copy",Tool!A132,NA())</f>
        <v>0.43749999999999895</v>
      </c>
      <c r="B128" s="62">
        <f>IF(Tool!$E132="Copy",Tool!B132,NA())</f>
        <v>0.21886480144846107</v>
      </c>
      <c r="C128" s="62">
        <f>IF(Tool!$E132="Copy",Tool!C132,NA())</f>
        <v>34.063664873711176</v>
      </c>
      <c r="D128" s="67">
        <f>IF(Tool!$E132="Copy",Tool!D132,NA())</f>
        <v>2.6263776173815327</v>
      </c>
    </row>
    <row r="129" spans="1:4" x14ac:dyDescent="0.25">
      <c r="A129" s="66">
        <f>IF(Tool!$E133="Copy",Tool!A133,NA())</f>
        <v>0.44097222222222116</v>
      </c>
      <c r="B129" s="62">
        <f>IF(Tool!$E133="Copy",Tool!B133,NA())</f>
        <v>0.22641186356737264</v>
      </c>
      <c r="C129" s="62">
        <f>IF(Tool!$E133="Copy",Tool!C133,NA())</f>
        <v>34.290076737278547</v>
      </c>
      <c r="D129" s="67">
        <f>IF(Tool!$E133="Copy",Tool!D133,NA())</f>
        <v>2.7169423628084717</v>
      </c>
    </row>
    <row r="130" spans="1:4" x14ac:dyDescent="0.25">
      <c r="A130" s="66">
        <f>IF(Tool!$E134="Copy",Tool!A134,NA())</f>
        <v>0.44444444444444337</v>
      </c>
      <c r="B130" s="62">
        <f>IF(Tool!$E134="Copy",Tool!B134,NA())</f>
        <v>0.21697803591873316</v>
      </c>
      <c r="C130" s="62">
        <f>IF(Tool!$E134="Copy",Tool!C134,NA())</f>
        <v>34.507054773197282</v>
      </c>
      <c r="D130" s="67">
        <f>IF(Tool!$E134="Copy",Tool!D134,NA())</f>
        <v>2.6037364310247977</v>
      </c>
    </row>
    <row r="131" spans="1:4" x14ac:dyDescent="0.25">
      <c r="A131" s="66">
        <f>IF(Tool!$E135="Copy",Tool!A135,NA())</f>
        <v>0.44791666666666557</v>
      </c>
      <c r="B131" s="62">
        <f>IF(Tool!$E135="Copy",Tool!B135,NA())</f>
        <v>0.21697803591873316</v>
      </c>
      <c r="C131" s="62">
        <f>IF(Tool!$E135="Copy",Tool!C135,NA())</f>
        <v>34.724032809116018</v>
      </c>
      <c r="D131" s="67">
        <f>IF(Tool!$E135="Copy",Tool!D135,NA())</f>
        <v>2.6037364310247977</v>
      </c>
    </row>
    <row r="132" spans="1:4" x14ac:dyDescent="0.25">
      <c r="A132" s="66">
        <f>IF(Tool!$E136="Copy",Tool!A136,NA())</f>
        <v>0.45138888888888778</v>
      </c>
      <c r="B132" s="62">
        <f>IF(Tool!$E136="Copy",Tool!B136,NA())</f>
        <v>0.21697803591872689</v>
      </c>
      <c r="C132" s="62">
        <f>IF(Tool!$E136="Copy",Tool!C136,NA())</f>
        <v>34.941010845034747</v>
      </c>
      <c r="D132" s="67">
        <f>IF(Tool!$E136="Copy",Tool!D136,NA())</f>
        <v>2.6037364310247226</v>
      </c>
    </row>
    <row r="133" spans="1:4" x14ac:dyDescent="0.25">
      <c r="A133" s="66">
        <f>IF(Tool!$E137="Copy",Tool!A137,NA())</f>
        <v>0.45486111111110999</v>
      </c>
      <c r="B133" s="62">
        <f>IF(Tool!$E137="Copy",Tool!B137,NA())</f>
        <v>0.21320450485927739</v>
      </c>
      <c r="C133" s="62">
        <f>IF(Tool!$E137="Copy",Tool!C137,NA())</f>
        <v>35.154215349894024</v>
      </c>
      <c r="D133" s="67">
        <f>IF(Tool!$E137="Copy",Tool!D137,NA())</f>
        <v>2.5584540583113284</v>
      </c>
    </row>
    <row r="134" spans="1:4" x14ac:dyDescent="0.25">
      <c r="A134" s="66">
        <f>IF(Tool!$E138="Copy",Tool!A138,NA())</f>
        <v>0.4583333333333322</v>
      </c>
      <c r="B134" s="62">
        <f>IF(Tool!$E138="Copy",Tool!B138,NA())</f>
        <v>0.20754420827009371</v>
      </c>
      <c r="C134" s="62">
        <f>IF(Tool!$E138="Copy",Tool!C138,NA())</f>
        <v>35.361759558164117</v>
      </c>
      <c r="D134" s="67">
        <f>IF(Tool!$E138="Copy",Tool!D138,NA())</f>
        <v>2.4905304992411246</v>
      </c>
    </row>
    <row r="135" spans="1:4" x14ac:dyDescent="0.25">
      <c r="A135" s="66">
        <f>IF(Tool!$E139="Copy",Tool!A139,NA())</f>
        <v>0.46180555555555441</v>
      </c>
      <c r="B135" s="62">
        <f>IF(Tool!$E139="Copy",Tool!B139,NA())</f>
        <v>0.2075442082700874</v>
      </c>
      <c r="C135" s="62">
        <f>IF(Tool!$E139="Copy",Tool!C139,NA())</f>
        <v>35.569303766434203</v>
      </c>
      <c r="D135" s="67">
        <f>IF(Tool!$E139="Copy",Tool!D139,NA())</f>
        <v>2.4905304992410491</v>
      </c>
    </row>
    <row r="136" spans="1:4" x14ac:dyDescent="0.25">
      <c r="A136" s="66">
        <f>IF(Tool!$E140="Copy",Tool!A140,NA())</f>
        <v>0.46527777777777662</v>
      </c>
      <c r="B136" s="62">
        <f>IF(Tool!$E140="Copy",Tool!B140,NA())</f>
        <v>0.19811038062145422</v>
      </c>
      <c r="C136" s="62">
        <f>IF(Tool!$E140="Copy",Tool!C140,NA())</f>
        <v>35.767414147055661</v>
      </c>
      <c r="D136" s="67">
        <f>IF(Tool!$E140="Copy",Tool!D140,NA())</f>
        <v>2.3773245674574506</v>
      </c>
    </row>
    <row r="137" spans="1:4" x14ac:dyDescent="0.25">
      <c r="A137" s="66">
        <f>IF(Tool!$E141="Copy",Tool!A141,NA())</f>
        <v>0.46874999999999883</v>
      </c>
      <c r="B137" s="62">
        <f>IF(Tool!$E141="Copy",Tool!B141,NA())</f>
        <v>0.19811038062145422</v>
      </c>
      <c r="C137" s="62">
        <f>IF(Tool!$E141="Copy",Tool!C141,NA())</f>
        <v>35.965524527677118</v>
      </c>
      <c r="D137" s="67">
        <f>IF(Tool!$E141="Copy",Tool!D141,NA())</f>
        <v>2.3773245674574506</v>
      </c>
    </row>
    <row r="138" spans="1:4" x14ac:dyDescent="0.25">
      <c r="A138" s="66">
        <f>IF(Tool!$E142="Copy",Tool!A142,NA())</f>
        <v>0.47222222222222104</v>
      </c>
      <c r="B138" s="62">
        <f>IF(Tool!$E142="Copy",Tool!B142,NA())</f>
        <v>0.19811038062144792</v>
      </c>
      <c r="C138" s="62">
        <f>IF(Tool!$E142="Copy",Tool!C142,NA())</f>
        <v>36.163634908298569</v>
      </c>
      <c r="D138" s="67">
        <f>IF(Tool!$E142="Copy",Tool!D142,NA())</f>
        <v>2.3773245674573751</v>
      </c>
    </row>
    <row r="139" spans="1:4" x14ac:dyDescent="0.25">
      <c r="A139" s="66">
        <f>IF(Tool!$E143="Copy",Tool!A143,NA())</f>
        <v>0.47569444444444325</v>
      </c>
      <c r="B139" s="62">
        <f>IF(Tool!$E143="Copy",Tool!B143,NA())</f>
        <v>0.19433684956199213</v>
      </c>
      <c r="C139" s="62">
        <f>IF(Tool!$E143="Copy",Tool!C143,NA())</f>
        <v>36.357971757860561</v>
      </c>
      <c r="D139" s="67">
        <f>IF(Tool!$E143="Copy",Tool!D143,NA())</f>
        <v>2.3320421947439054</v>
      </c>
    </row>
    <row r="140" spans="1:4" x14ac:dyDescent="0.25">
      <c r="A140" s="66">
        <f>IF(Tool!$E144="Copy",Tool!A144,NA())</f>
        <v>0.47916666666666546</v>
      </c>
      <c r="B140" s="62">
        <f>IF(Tool!$E144="Copy",Tool!B144,NA())</f>
        <v>0.18773317020795077</v>
      </c>
      <c r="C140" s="62">
        <f>IF(Tool!$E144="Copy",Tool!C144,NA())</f>
        <v>36.54570492806851</v>
      </c>
      <c r="D140" s="67">
        <f>IF(Tool!$E144="Copy",Tool!D144,NA())</f>
        <v>2.2527980424954093</v>
      </c>
    </row>
    <row r="141" spans="1:4" x14ac:dyDescent="0.25">
      <c r="A141" s="66">
        <f>IF(Tool!$E145="Copy",Tool!A145,NA())</f>
        <v>0.48263888888888767</v>
      </c>
      <c r="B141" s="62">
        <f>IF(Tool!$E145="Copy",Tool!B145,NA())</f>
        <v>0.1839596391484887</v>
      </c>
      <c r="C141" s="62">
        <f>IF(Tool!$E145="Copy",Tool!C145,NA())</f>
        <v>36.729664567217</v>
      </c>
      <c r="D141" s="67">
        <f>IF(Tool!$E145="Copy",Tool!D145,NA())</f>
        <v>2.2075156697818645</v>
      </c>
    </row>
    <row r="142" spans="1:4" x14ac:dyDescent="0.25">
      <c r="A142" s="66">
        <f>IF(Tool!$E146="Copy",Tool!A146,NA())</f>
        <v>0.48611111111110988</v>
      </c>
      <c r="B142" s="62">
        <f>IF(Tool!$E146="Copy",Tool!B146,NA())</f>
        <v>0.17924272532416269</v>
      </c>
      <c r="C142" s="62">
        <f>IF(Tool!$E146="Copy",Tool!C146,NA())</f>
        <v>36.908907292541166</v>
      </c>
      <c r="D142" s="67">
        <f>IF(Tool!$E146="Copy",Tool!D146,NA())</f>
        <v>2.1509127038899525</v>
      </c>
    </row>
    <row r="143" spans="1:4" x14ac:dyDescent="0.25">
      <c r="A143" s="66">
        <f>IF(Tool!$E147="Copy",Tool!A147,NA())</f>
        <v>0.48958333333333209</v>
      </c>
      <c r="B143" s="62">
        <f>IF(Tool!$E147="Copy",Tool!B147,NA())</f>
        <v>0.17924272532417526</v>
      </c>
      <c r="C143" s="62">
        <f>IF(Tool!$E147="Copy",Tool!C147,NA())</f>
        <v>37.088150017865338</v>
      </c>
      <c r="D143" s="67">
        <f>IF(Tool!$E147="Copy",Tool!D147,NA())</f>
        <v>2.150912703890103</v>
      </c>
    </row>
    <row r="144" spans="1:4" x14ac:dyDescent="0.25">
      <c r="A144" s="66">
        <f>IF(Tool!$E148="Copy",Tool!A148,NA())</f>
        <v>0.4930555555555543</v>
      </c>
      <c r="B144" s="62">
        <f>IF(Tool!$E148="Copy",Tool!B148,NA())</f>
        <v>0.17924272532416896</v>
      </c>
      <c r="C144" s="62">
        <f>IF(Tool!$E148="Copy",Tool!C148,NA())</f>
        <v>37.267392743189504</v>
      </c>
      <c r="D144" s="67">
        <f>IF(Tool!$E148="Copy",Tool!D148,NA())</f>
        <v>2.1509127038900275</v>
      </c>
    </row>
    <row r="145" spans="1:4" x14ac:dyDescent="0.25">
      <c r="A145" s="66">
        <f>IF(Tool!$E149="Copy",Tool!A149,NA())</f>
        <v>0.49652777777777651</v>
      </c>
      <c r="B145" s="62">
        <f>IF(Tool!$E149="Copy",Tool!B149,NA())</f>
        <v>0.17735595979444108</v>
      </c>
      <c r="C145" s="62">
        <f>IF(Tool!$E149="Copy",Tool!C149,NA())</f>
        <v>37.444748702983944</v>
      </c>
      <c r="D145" s="67">
        <f>IF(Tool!$E149="Copy",Tool!D149,NA())</f>
        <v>2.1282715175332929</v>
      </c>
    </row>
    <row r="146" spans="1:4" x14ac:dyDescent="0.25">
      <c r="A146" s="66">
        <f>IF(Tool!$E150="Copy",Tool!A150,NA())</f>
        <v>0.49999999999999872</v>
      </c>
      <c r="B146" s="62">
        <f>IF(Tool!$E150="Copy",Tool!B150,NA())</f>
        <v>0.17452581149984922</v>
      </c>
      <c r="C146" s="62">
        <f>IF(Tool!$E150="Copy",Tool!C150,NA())</f>
        <v>37.619274514483791</v>
      </c>
      <c r="D146" s="67">
        <f>IF(Tool!$E150="Copy",Tool!D150,NA())</f>
        <v>2.0943097379981905</v>
      </c>
    </row>
    <row r="147" spans="1:4" x14ac:dyDescent="0.25">
      <c r="A147" s="66">
        <f>IF(Tool!$E151="Copy",Tool!A151,NA())</f>
        <v>0.50347222222222099</v>
      </c>
      <c r="B147" s="62">
        <f>IF(Tool!$E151="Copy",Tool!B151,NA())</f>
        <v>0.17452581149984922</v>
      </c>
      <c r="C147" s="62">
        <f>IF(Tool!$E151="Copy",Tool!C151,NA())</f>
        <v>37.793800325983639</v>
      </c>
      <c r="D147" s="67">
        <f>IF(Tool!$E151="Copy",Tool!D151,NA())</f>
        <v>2.0943097379981905</v>
      </c>
    </row>
    <row r="148" spans="1:4" x14ac:dyDescent="0.25">
      <c r="A148" s="66">
        <f>IF(Tool!$E152="Copy",Tool!A152,NA())</f>
        <v>0.5069444444444432</v>
      </c>
      <c r="B148" s="62">
        <f>IF(Tool!$E152="Copy",Tool!B152,NA())</f>
        <v>0.17924272532416896</v>
      </c>
      <c r="C148" s="62">
        <f>IF(Tool!$E152="Copy",Tool!C152,NA())</f>
        <v>37.973043051307805</v>
      </c>
      <c r="D148" s="67">
        <f>IF(Tool!$E152="Copy",Tool!D152,NA())</f>
        <v>2.1509127038900275</v>
      </c>
    </row>
    <row r="149" spans="1:4" x14ac:dyDescent="0.25">
      <c r="A149" s="66">
        <f>IF(Tool!$E153="Copy",Tool!A153,NA())</f>
        <v>0.51041666666666541</v>
      </c>
      <c r="B149" s="62">
        <f>IF(Tool!$E153="Copy",Tool!B153,NA())</f>
        <v>0.17924272532417526</v>
      </c>
      <c r="C149" s="62">
        <f>IF(Tool!$E153="Copy",Tool!C153,NA())</f>
        <v>38.152285776631977</v>
      </c>
      <c r="D149" s="67">
        <f>IF(Tool!$E153="Copy",Tool!D153,NA())</f>
        <v>2.150912703890103</v>
      </c>
    </row>
    <row r="150" spans="1:4" x14ac:dyDescent="0.25">
      <c r="A150" s="66">
        <f>IF(Tool!$E154="Copy",Tool!A154,NA())</f>
        <v>0.51388888888888762</v>
      </c>
      <c r="B150" s="62">
        <f>IF(Tool!$E154="Copy",Tool!B154,NA())</f>
        <v>0.17924272532416896</v>
      </c>
      <c r="C150" s="62">
        <f>IF(Tool!$E154="Copy",Tool!C154,NA())</f>
        <v>38.331528501956143</v>
      </c>
      <c r="D150" s="67">
        <f>IF(Tool!$E154="Copy",Tool!D154,NA())</f>
        <v>2.1509127038900275</v>
      </c>
    </row>
    <row r="151" spans="1:4" x14ac:dyDescent="0.25">
      <c r="A151" s="66">
        <f>IF(Tool!$E155="Copy",Tool!A155,NA())</f>
        <v>0.51736111111110983</v>
      </c>
      <c r="B151" s="62">
        <f>IF(Tool!$E155="Copy",Tool!B155,NA())</f>
        <v>0.18112949085389687</v>
      </c>
      <c r="C151" s="62">
        <f>IF(Tool!$E155="Copy",Tool!C155,NA())</f>
        <v>38.512657992810041</v>
      </c>
      <c r="D151" s="67">
        <f>IF(Tool!$E155="Copy",Tool!D155,NA())</f>
        <v>2.1735538902467626</v>
      </c>
    </row>
    <row r="152" spans="1:4" x14ac:dyDescent="0.25">
      <c r="A152" s="66">
        <f>IF(Tool!$E156="Copy",Tool!A156,NA())</f>
        <v>0.52083333333333204</v>
      </c>
      <c r="B152" s="62">
        <f>IF(Tool!$E156="Copy",Tool!B156,NA())</f>
        <v>0.18112949085389687</v>
      </c>
      <c r="C152" s="62">
        <f>IF(Tool!$E156="Copy",Tool!C156,NA())</f>
        <v>38.693787483663939</v>
      </c>
      <c r="D152" s="67">
        <f>IF(Tool!$E156="Copy",Tool!D156,NA())</f>
        <v>2.1735538902467626</v>
      </c>
    </row>
    <row r="153" spans="1:4" x14ac:dyDescent="0.25">
      <c r="A153" s="66">
        <f>IF(Tool!$E157="Copy",Tool!A157,NA())</f>
        <v>0.52430555555555425</v>
      </c>
      <c r="B153" s="62">
        <f>IF(Tool!$E157="Copy",Tool!B157,NA())</f>
        <v>0.16980889767552948</v>
      </c>
      <c r="C153" s="62">
        <f>IF(Tool!$E157="Copy",Tool!C157,NA())</f>
        <v>38.86359638133947</v>
      </c>
      <c r="D153" s="67">
        <f>IF(Tool!$E157="Copy",Tool!D157,NA())</f>
        <v>2.037706772106354</v>
      </c>
    </row>
    <row r="154" spans="1:4" x14ac:dyDescent="0.25">
      <c r="A154" s="66">
        <f>IF(Tool!$E158="Copy",Tool!A158,NA())</f>
        <v>0.52777777777777646</v>
      </c>
      <c r="B154" s="62">
        <f>IF(Tool!$E158="Copy",Tool!B158,NA())</f>
        <v>0.17452581149984922</v>
      </c>
      <c r="C154" s="62">
        <f>IF(Tool!$E158="Copy",Tool!C158,NA())</f>
        <v>39.038122192839317</v>
      </c>
      <c r="D154" s="67">
        <f>IF(Tool!$E158="Copy",Tool!D158,NA())</f>
        <v>2.0943097379981905</v>
      </c>
    </row>
    <row r="155" spans="1:4" x14ac:dyDescent="0.25">
      <c r="A155" s="66">
        <f>IF(Tool!$E159="Copy",Tool!A159,NA())</f>
        <v>0.53124999999999867</v>
      </c>
      <c r="B155" s="62">
        <f>IF(Tool!$E159="Copy",Tool!B159,NA())</f>
        <v>0.17075228044039342</v>
      </c>
      <c r="C155" s="62">
        <f>IF(Tool!$E159="Copy",Tool!C159,NA())</f>
        <v>39.208874473279714</v>
      </c>
      <c r="D155" s="67">
        <f>IF(Tool!$E159="Copy",Tool!D159,NA())</f>
        <v>2.0490273652847213</v>
      </c>
    </row>
    <row r="156" spans="1:4" x14ac:dyDescent="0.25">
      <c r="A156" s="66">
        <f>IF(Tool!$E160="Copy",Tool!A160,NA())</f>
        <v>0.53472222222222088</v>
      </c>
      <c r="B156" s="62">
        <f>IF(Tool!$E160="Copy",Tool!B160,NA())</f>
        <v>0.16697874938093765</v>
      </c>
      <c r="C156" s="62">
        <f>IF(Tool!$E160="Copy",Tool!C160,NA())</f>
        <v>39.375853222660652</v>
      </c>
      <c r="D156" s="67">
        <f>IF(Tool!$E160="Copy",Tool!D160,NA())</f>
        <v>2.003744992571252</v>
      </c>
    </row>
    <row r="157" spans="1:4" x14ac:dyDescent="0.25">
      <c r="A157" s="66">
        <f>IF(Tool!$E161="Copy",Tool!A161,NA())</f>
        <v>0.53819444444444309</v>
      </c>
      <c r="B157" s="62">
        <f>IF(Tool!$E161="Copy",Tool!B161,NA())</f>
        <v>0.16697874938093765</v>
      </c>
      <c r="C157" s="62">
        <f>IF(Tool!$E161="Copy",Tool!C161,NA())</f>
        <v>39.54283197204159</v>
      </c>
      <c r="D157" s="67">
        <f>IF(Tool!$E161="Copy",Tool!D161,NA())</f>
        <v>2.003744992571252</v>
      </c>
    </row>
    <row r="158" spans="1:4" x14ac:dyDescent="0.25">
      <c r="A158" s="66">
        <f>IF(Tool!$E162="Copy",Tool!A162,NA())</f>
        <v>0.5416666666666653</v>
      </c>
      <c r="B158" s="62">
        <f>IF(Tool!$E162="Copy",Tool!B162,NA())</f>
        <v>0.17075228044039342</v>
      </c>
      <c r="C158" s="62">
        <f>IF(Tool!$E162="Copy",Tool!C162,NA())</f>
        <v>39.713584252481986</v>
      </c>
      <c r="D158" s="67">
        <f>IF(Tool!$E162="Copy",Tool!D162,NA())</f>
        <v>2.0490273652847213</v>
      </c>
    </row>
    <row r="159" spans="1:4" x14ac:dyDescent="0.25">
      <c r="A159" s="66">
        <f>IF(Tool!$E163="Copy",Tool!A163,NA())</f>
        <v>0.54513888888888751</v>
      </c>
      <c r="B159" s="62">
        <f>IF(Tool!$E163="Copy",Tool!B163,NA())</f>
        <v>0.17452581149984922</v>
      </c>
      <c r="C159" s="62">
        <f>IF(Tool!$E163="Copy",Tool!C163,NA())</f>
        <v>39.888110063981834</v>
      </c>
      <c r="D159" s="67">
        <f>IF(Tool!$E163="Copy",Tool!D163,NA())</f>
        <v>2.0943097379981905</v>
      </c>
    </row>
    <row r="160" spans="1:4" x14ac:dyDescent="0.25">
      <c r="A160" s="66">
        <f>IF(Tool!$E164="Copy",Tool!A164,NA())</f>
        <v>0.54861111111110972</v>
      </c>
      <c r="B160" s="62">
        <f>IF(Tool!$E164="Copy",Tool!B164,NA())</f>
        <v>0.17452581149984922</v>
      </c>
      <c r="C160" s="62">
        <f>IF(Tool!$E164="Copy",Tool!C164,NA())</f>
        <v>40.062635875481682</v>
      </c>
      <c r="D160" s="67">
        <f>IF(Tool!$E164="Copy",Tool!D164,NA())</f>
        <v>2.0943097379981905</v>
      </c>
    </row>
    <row r="161" spans="1:4" x14ac:dyDescent="0.25">
      <c r="A161" s="66">
        <f>IF(Tool!$E165="Copy",Tool!A165,NA())</f>
        <v>0.55208333333333193</v>
      </c>
      <c r="B161" s="62">
        <f>IF(Tool!$E165="Copy",Tool!B165,NA())</f>
        <v>0.17075228044039342</v>
      </c>
      <c r="C161" s="62">
        <f>IF(Tool!$E165="Copy",Tool!C165,NA())</f>
        <v>40.233388155922079</v>
      </c>
      <c r="D161" s="67">
        <f>IF(Tool!$E165="Copy",Tool!D165,NA())</f>
        <v>2.0490273652847213</v>
      </c>
    </row>
    <row r="162" spans="1:4" x14ac:dyDescent="0.25">
      <c r="A162" s="66">
        <f>IF(Tool!$E166="Copy",Tool!A166,NA())</f>
        <v>0.55555555555555414</v>
      </c>
      <c r="B162" s="62">
        <f>IF(Tool!$E166="Copy",Tool!B166,NA())</f>
        <v>0.16697874938093765</v>
      </c>
      <c r="C162" s="62">
        <f>IF(Tool!$E166="Copy",Tool!C166,NA())</f>
        <v>40.400366905303017</v>
      </c>
      <c r="D162" s="67">
        <f>IF(Tool!$E166="Copy",Tool!D166,NA())</f>
        <v>2.003744992571252</v>
      </c>
    </row>
    <row r="163" spans="1:4" x14ac:dyDescent="0.25">
      <c r="A163" s="66">
        <f>IF(Tool!$E167="Copy",Tool!A167,NA())</f>
        <v>0.55902777777777635</v>
      </c>
      <c r="B163" s="62">
        <f>IF(Tool!$E167="Copy",Tool!B167,NA())</f>
        <v>0.16509198385120974</v>
      </c>
      <c r="C163" s="62">
        <f>IF(Tool!$E167="Copy",Tool!C167,NA())</f>
        <v>40.565458889154229</v>
      </c>
      <c r="D163" s="67">
        <f>IF(Tool!$E167="Copy",Tool!D167,NA())</f>
        <v>1.981103806214517</v>
      </c>
    </row>
    <row r="164" spans="1:4" x14ac:dyDescent="0.25">
      <c r="A164" s="66">
        <f>IF(Tool!$E168="Copy",Tool!A168,NA())</f>
        <v>0.56249999999999856</v>
      </c>
      <c r="B164" s="62">
        <f>IF(Tool!$E168="Copy",Tool!B168,NA())</f>
        <v>0.16509198385120974</v>
      </c>
      <c r="C164" s="62">
        <f>IF(Tool!$E168="Copy",Tool!C168,NA())</f>
        <v>40.730550873005441</v>
      </c>
      <c r="D164" s="67">
        <f>IF(Tool!$E168="Copy",Tool!D168,NA())</f>
        <v>1.981103806214517</v>
      </c>
    </row>
    <row r="165" spans="1:4" x14ac:dyDescent="0.25">
      <c r="A165" s="66">
        <f>IF(Tool!$E169="Copy",Tool!A169,NA())</f>
        <v>0.56597222222222077</v>
      </c>
      <c r="B165" s="62">
        <f>IF(Tool!$E169="Copy",Tool!B169,NA())</f>
        <v>0.16509198385120974</v>
      </c>
      <c r="C165" s="62">
        <f>IF(Tool!$E169="Copy",Tool!C169,NA())</f>
        <v>40.895642856856654</v>
      </c>
      <c r="D165" s="67">
        <f>IF(Tool!$E169="Copy",Tool!D169,NA())</f>
        <v>1.981103806214517</v>
      </c>
    </row>
    <row r="166" spans="1:4" x14ac:dyDescent="0.25">
      <c r="A166" s="66">
        <f>IF(Tool!$E170="Copy",Tool!A170,NA())</f>
        <v>0.56944444444444298</v>
      </c>
      <c r="B166" s="62">
        <f>IF(Tool!$E170="Copy",Tool!B170,NA())</f>
        <v>0.16037507002689</v>
      </c>
      <c r="C166" s="62">
        <f>IF(Tool!$E170="Copy",Tool!C170,NA())</f>
        <v>41.056017926883541</v>
      </c>
      <c r="D166" s="67">
        <f>IF(Tool!$E170="Copy",Tool!D170,NA())</f>
        <v>1.92450084032268</v>
      </c>
    </row>
    <row r="167" spans="1:4" x14ac:dyDescent="0.25">
      <c r="A167" s="66">
        <f>IF(Tool!$E171="Copy",Tool!A171,NA())</f>
        <v>0.57291666666666519</v>
      </c>
      <c r="B167" s="62">
        <f>IF(Tool!$E171="Copy",Tool!B171,NA())</f>
        <v>0.16037507002688373</v>
      </c>
      <c r="C167" s="62">
        <f>IF(Tool!$E171="Copy",Tool!C171,NA())</f>
        <v>41.216392996910422</v>
      </c>
      <c r="D167" s="67">
        <f>IF(Tool!$E171="Copy",Tool!D171,NA())</f>
        <v>1.9245008403226047</v>
      </c>
    </row>
    <row r="168" spans="1:4" x14ac:dyDescent="0.25">
      <c r="A168" s="66">
        <f>IF(Tool!$E172="Copy",Tool!A172,NA())</f>
        <v>0.5763888888888874</v>
      </c>
      <c r="B168" s="62">
        <f>IF(Tool!$E172="Copy",Tool!B172,NA())</f>
        <v>0.15754492173229817</v>
      </c>
      <c r="C168" s="62">
        <f>IF(Tool!$E172="Copy",Tool!C172,NA())</f>
        <v>41.373937918642717</v>
      </c>
      <c r="D168" s="67">
        <f>IF(Tool!$E172="Copy",Tool!D172,NA())</f>
        <v>1.8905390607875781</v>
      </c>
    </row>
    <row r="169" spans="1:4" x14ac:dyDescent="0.25">
      <c r="A169" s="66">
        <f>IF(Tool!$E173="Copy",Tool!A173,NA())</f>
        <v>0.57986111111110961</v>
      </c>
      <c r="B169" s="62">
        <f>IF(Tool!$E173="Copy",Tool!B173,NA())</f>
        <v>0.15754492173229817</v>
      </c>
      <c r="C169" s="62">
        <f>IF(Tool!$E173="Copy",Tool!C173,NA())</f>
        <v>41.531482840375013</v>
      </c>
      <c r="D169" s="67">
        <f>IF(Tool!$E173="Copy",Tool!D173,NA())</f>
        <v>1.8905390607875781</v>
      </c>
    </row>
    <row r="170" spans="1:4" x14ac:dyDescent="0.25">
      <c r="A170" s="66">
        <f>IF(Tool!$E174="Copy",Tool!A174,NA())</f>
        <v>0.58333333333333182</v>
      </c>
      <c r="B170" s="62">
        <f>IF(Tool!$E174="Copy",Tool!B174,NA())</f>
        <v>0.16037507002688373</v>
      </c>
      <c r="C170" s="62">
        <f>IF(Tool!$E174="Copy",Tool!C174,NA())</f>
        <v>41.691857910401893</v>
      </c>
      <c r="D170" s="67">
        <f>IF(Tool!$E174="Copy",Tool!D174,NA())</f>
        <v>1.9245008403226047</v>
      </c>
    </row>
    <row r="171" spans="1:4" x14ac:dyDescent="0.25">
      <c r="A171" s="66">
        <f>IF(Tool!$E175="Copy",Tool!A175,NA())</f>
        <v>0.58680555555555403</v>
      </c>
      <c r="B171" s="62">
        <f>IF(Tool!$E175="Copy",Tool!B175,NA())</f>
        <v>0.16037507002689</v>
      </c>
      <c r="C171" s="62">
        <f>IF(Tool!$E175="Copy",Tool!C175,NA())</f>
        <v>41.852232980428781</v>
      </c>
      <c r="D171" s="67">
        <f>IF(Tool!$E175="Copy",Tool!D175,NA())</f>
        <v>1.92450084032268</v>
      </c>
    </row>
    <row r="172" spans="1:4" x14ac:dyDescent="0.25">
      <c r="A172" s="66">
        <f>IF(Tool!$E176="Copy",Tool!A176,NA())</f>
        <v>0.59027777777777624</v>
      </c>
      <c r="B172" s="62">
        <f>IF(Tool!$E176="Copy",Tool!B176,NA())</f>
        <v>0.16037507002689</v>
      </c>
      <c r="C172" s="62">
        <f>IF(Tool!$E176="Copy",Tool!C176,NA())</f>
        <v>42.012608050455668</v>
      </c>
      <c r="D172" s="67">
        <f>IF(Tool!$E176="Copy",Tool!D176,NA())</f>
        <v>1.92450084032268</v>
      </c>
    </row>
    <row r="173" spans="1:4" x14ac:dyDescent="0.25">
      <c r="A173" s="66">
        <f>IF(Tool!$E177="Copy",Tool!A177,NA())</f>
        <v>0.59374999999999845</v>
      </c>
      <c r="B173" s="62">
        <f>IF(Tool!$E177="Copy",Tool!B177,NA())</f>
        <v>0.15660153896743423</v>
      </c>
      <c r="C173" s="62">
        <f>IF(Tool!$E177="Copy",Tool!C177,NA())</f>
        <v>42.169209589423104</v>
      </c>
      <c r="D173" s="67">
        <f>IF(Tool!$E177="Copy",Tool!D177,NA())</f>
        <v>1.8792184676092107</v>
      </c>
    </row>
    <row r="174" spans="1:4" x14ac:dyDescent="0.25">
      <c r="A174" s="66">
        <f>IF(Tool!$E178="Copy",Tool!A178,NA())</f>
        <v>0.59722222222222066</v>
      </c>
      <c r="B174" s="62">
        <f>IF(Tool!$E178="Copy",Tool!B178,NA())</f>
        <v>0.15848830449716211</v>
      </c>
      <c r="C174" s="62">
        <f>IF(Tool!$E178="Copy",Tool!C178,NA())</f>
        <v>42.327697893920266</v>
      </c>
      <c r="D174" s="67">
        <f>IF(Tool!$E178="Copy",Tool!D178,NA())</f>
        <v>1.9018596539659454</v>
      </c>
    </row>
    <row r="175" spans="1:4" x14ac:dyDescent="0.25">
      <c r="A175" s="66">
        <f>IF(Tool!$E179="Copy",Tool!A179,NA())</f>
        <v>0.60069444444444287</v>
      </c>
      <c r="B175" s="62">
        <f>IF(Tool!$E179="Copy",Tool!B179,NA())</f>
        <v>0.15848830449716211</v>
      </c>
      <c r="C175" s="62">
        <f>IF(Tool!$E179="Copy",Tool!C179,NA())</f>
        <v>42.486186198417428</v>
      </c>
      <c r="D175" s="67">
        <f>IF(Tool!$E179="Copy",Tool!D179,NA())</f>
        <v>1.9018596539659454</v>
      </c>
    </row>
    <row r="176" spans="1:4" x14ac:dyDescent="0.25">
      <c r="A176" s="66">
        <f>IF(Tool!$E180="Copy",Tool!A180,NA())</f>
        <v>0.60416666666666508</v>
      </c>
      <c r="B176" s="62">
        <f>IF(Tool!$E180="Copy",Tool!B180,NA())</f>
        <v>0.15565815620256399</v>
      </c>
      <c r="C176" s="62">
        <f>IF(Tool!$E180="Copy",Tool!C180,NA())</f>
        <v>42.641844354619991</v>
      </c>
      <c r="D176" s="67">
        <f>IF(Tool!$E180="Copy",Tool!D180,NA())</f>
        <v>1.8678978744307679</v>
      </c>
    </row>
    <row r="177" spans="1:4" x14ac:dyDescent="0.25">
      <c r="A177" s="66">
        <f>IF(Tool!$E181="Copy",Tool!A181,NA())</f>
        <v>0.60763888888888729</v>
      </c>
      <c r="B177" s="62">
        <f>IF(Tool!$E181="Copy",Tool!B181,NA())</f>
        <v>0.15565815620257026</v>
      </c>
      <c r="C177" s="62">
        <f>IF(Tool!$E181="Copy",Tool!C181,NA())</f>
        <v>42.797502510822561</v>
      </c>
      <c r="D177" s="67">
        <f>IF(Tool!$E181="Copy",Tool!D181,NA())</f>
        <v>1.867897874430843</v>
      </c>
    </row>
    <row r="178" spans="1:4" x14ac:dyDescent="0.25">
      <c r="A178" s="66">
        <f>IF(Tool!$E182="Copy",Tool!A182,NA())</f>
        <v>0.6111111111111095</v>
      </c>
      <c r="B178" s="62">
        <f>IF(Tool!$E182="Copy",Tool!B182,NA())</f>
        <v>0.15565815620257026</v>
      </c>
      <c r="C178" s="62">
        <f>IF(Tool!$E182="Copy",Tool!C182,NA())</f>
        <v>42.953160667025131</v>
      </c>
      <c r="D178" s="67">
        <f>IF(Tool!$E182="Copy",Tool!D182,NA())</f>
        <v>1.867897874430843</v>
      </c>
    </row>
    <row r="179" spans="1:4" x14ac:dyDescent="0.25">
      <c r="A179" s="66">
        <f>IF(Tool!$E183="Copy",Tool!A183,NA())</f>
        <v>0.61458333333333171</v>
      </c>
      <c r="B179" s="62">
        <f>IF(Tool!$E183="Copy",Tool!B183,NA())</f>
        <v>0.15565815620257026</v>
      </c>
      <c r="C179" s="62">
        <f>IF(Tool!$E183="Copy",Tool!C183,NA())</f>
        <v>43.108818823227701</v>
      </c>
      <c r="D179" s="67">
        <f>IF(Tool!$E183="Copy",Tool!D183,NA())</f>
        <v>1.867897874430843</v>
      </c>
    </row>
    <row r="180" spans="1:4" x14ac:dyDescent="0.25">
      <c r="A180" s="66">
        <f>IF(Tool!$E184="Copy",Tool!A184,NA())</f>
        <v>0.61805555555555391</v>
      </c>
      <c r="B180" s="62">
        <f>IF(Tool!$E184="Copy",Tool!B184,NA())</f>
        <v>0.15565815620257026</v>
      </c>
      <c r="C180" s="62">
        <f>IF(Tool!$E184="Copy",Tool!C184,NA())</f>
        <v>43.26447697943027</v>
      </c>
      <c r="D180" s="67">
        <f>IF(Tool!$E184="Copy",Tool!D184,NA())</f>
        <v>1.867897874430843</v>
      </c>
    </row>
    <row r="181" spans="1:4" x14ac:dyDescent="0.25">
      <c r="A181" s="66">
        <f>IF(Tool!$E185="Copy",Tool!A185,NA())</f>
        <v>0.62152777777777612</v>
      </c>
      <c r="B181" s="62">
        <f>IF(Tool!$E185="Copy",Tool!B185,NA())</f>
        <v>0.1537713906728361</v>
      </c>
      <c r="C181" s="62">
        <f>IF(Tool!$E185="Copy",Tool!C185,NA())</f>
        <v>43.418248370103107</v>
      </c>
      <c r="D181" s="67">
        <f>IF(Tool!$E185="Copy",Tool!D185,NA())</f>
        <v>1.8452566880740333</v>
      </c>
    </row>
    <row r="182" spans="1:4" x14ac:dyDescent="0.25">
      <c r="A182" s="66">
        <f>IF(Tool!$E186="Copy",Tool!A186,NA())</f>
        <v>0.62499999999999833</v>
      </c>
      <c r="B182" s="62">
        <f>IF(Tool!$E186="Copy",Tool!B186,NA())</f>
        <v>0.15188462514310819</v>
      </c>
      <c r="C182" s="62">
        <f>IF(Tool!$E186="Copy",Tool!C186,NA())</f>
        <v>43.570132995246219</v>
      </c>
      <c r="D182" s="67">
        <f>IF(Tool!$E186="Copy",Tool!D186,NA())</f>
        <v>1.8226155017172982</v>
      </c>
    </row>
    <row r="183" spans="1:4" x14ac:dyDescent="0.25">
      <c r="A183" s="66">
        <f>IF(Tool!$E187="Copy",Tool!A187,NA())</f>
        <v>0.62847222222222054</v>
      </c>
      <c r="B183" s="62">
        <f>IF(Tool!$E187="Copy",Tool!B187,NA())</f>
        <v>0.15565815620257026</v>
      </c>
      <c r="C183" s="62">
        <f>IF(Tool!$E187="Copy",Tool!C187,NA())</f>
        <v>43.725791151448789</v>
      </c>
      <c r="D183" s="67">
        <f>IF(Tool!$E187="Copy",Tool!D187,NA())</f>
        <v>1.867897874430843</v>
      </c>
    </row>
    <row r="184" spans="1:4" x14ac:dyDescent="0.25">
      <c r="A184" s="66">
        <f>IF(Tool!$E188="Copy",Tool!A188,NA())</f>
        <v>0.63194444444444275</v>
      </c>
      <c r="B184" s="62">
        <f>IF(Tool!$E188="Copy",Tool!B188,NA())</f>
        <v>0.15094124237824424</v>
      </c>
      <c r="C184" s="62">
        <f>IF(Tool!$E188="Copy",Tool!C188,NA())</f>
        <v>43.876732393827034</v>
      </c>
      <c r="D184" s="67">
        <f>IF(Tool!$E188="Copy",Tool!D188,NA())</f>
        <v>1.8112949085389309</v>
      </c>
    </row>
    <row r="185" spans="1:4" x14ac:dyDescent="0.25">
      <c r="A185" s="66">
        <f>IF(Tool!$E189="Copy",Tool!A189,NA())</f>
        <v>0.63541666666666496</v>
      </c>
      <c r="B185" s="62">
        <f>IF(Tool!$E189="Copy",Tool!B189,NA())</f>
        <v>0.15094124237825682</v>
      </c>
      <c r="C185" s="62">
        <f>IF(Tool!$E189="Copy",Tool!C189,NA())</f>
        <v>44.027673636205293</v>
      </c>
      <c r="D185" s="67">
        <f>IF(Tool!$E189="Copy",Tool!D189,NA())</f>
        <v>1.8112949085390819</v>
      </c>
    </row>
    <row r="186" spans="1:4" x14ac:dyDescent="0.25">
      <c r="A186" s="66">
        <f>IF(Tool!$E190="Copy",Tool!A190,NA())</f>
        <v>0.63888888888888717</v>
      </c>
      <c r="B186" s="62">
        <f>IF(Tool!$E190="Copy",Tool!B190,NA())</f>
        <v>0.15094124237824424</v>
      </c>
      <c r="C186" s="62">
        <f>IF(Tool!$E190="Copy",Tool!C190,NA())</f>
        <v>44.178614878583538</v>
      </c>
      <c r="D186" s="67">
        <f>IF(Tool!$E190="Copy",Tool!D190,NA())</f>
        <v>1.8112949085389309</v>
      </c>
    </row>
    <row r="187" spans="1:4" x14ac:dyDescent="0.25">
      <c r="A187" s="66">
        <f>IF(Tool!$E191="Copy",Tool!A191,NA())</f>
        <v>0.64236111111110938</v>
      </c>
      <c r="B187" s="62">
        <f>IF(Tool!$E191="Copy",Tool!B191,NA())</f>
        <v>0.15094124237825052</v>
      </c>
      <c r="C187" s="62">
        <f>IF(Tool!$E191="Copy",Tool!C191,NA())</f>
        <v>44.32955612096179</v>
      </c>
      <c r="D187" s="67">
        <f>IF(Tool!$E191="Copy",Tool!D191,NA())</f>
        <v>1.8112949085390062</v>
      </c>
    </row>
    <row r="188" spans="1:4" x14ac:dyDescent="0.25">
      <c r="A188" s="66">
        <f>IF(Tool!$E192="Copy",Tool!A192,NA())</f>
        <v>0.64583333333333159</v>
      </c>
      <c r="B188" s="62">
        <f>IF(Tool!$E192="Copy",Tool!B192,NA())</f>
        <v>0.15094124237825052</v>
      </c>
      <c r="C188" s="62">
        <f>IF(Tool!$E192="Copy",Tool!C192,NA())</f>
        <v>44.480497363340042</v>
      </c>
      <c r="D188" s="67">
        <f>IF(Tool!$E192="Copy",Tool!D192,NA())</f>
        <v>1.8112949085390062</v>
      </c>
    </row>
    <row r="189" spans="1:4" x14ac:dyDescent="0.25">
      <c r="A189" s="66">
        <f>IF(Tool!$E193="Copy",Tool!A193,NA())</f>
        <v>0.6493055555555538</v>
      </c>
      <c r="B189" s="62">
        <f>IF(Tool!$E193="Copy",Tool!B193,NA())</f>
        <v>0.15094124237824424</v>
      </c>
      <c r="C189" s="62">
        <f>IF(Tool!$E193="Copy",Tool!C193,NA())</f>
        <v>44.631438605718287</v>
      </c>
      <c r="D189" s="67">
        <f>IF(Tool!$E193="Copy",Tool!D193,NA())</f>
        <v>1.8112949085389309</v>
      </c>
    </row>
    <row r="190" spans="1:4" x14ac:dyDescent="0.25">
      <c r="A190" s="66">
        <f>IF(Tool!$E194="Copy",Tool!A194,NA())</f>
        <v>0.65277777777777601</v>
      </c>
      <c r="B190" s="62">
        <f>IF(Tool!$E194="Copy",Tool!B194,NA())</f>
        <v>0.14622432855393078</v>
      </c>
      <c r="C190" s="62">
        <f>IF(Tool!$E194="Copy",Tool!C194,NA())</f>
        <v>44.777662934272215</v>
      </c>
      <c r="D190" s="67">
        <f>IF(Tool!$E194="Copy",Tool!D194,NA())</f>
        <v>1.7546919426471694</v>
      </c>
    </row>
    <row r="191" spans="1:4" x14ac:dyDescent="0.25">
      <c r="A191" s="66">
        <f>IF(Tool!$E195="Copy",Tool!A195,NA())</f>
        <v>0.65624999999999822</v>
      </c>
      <c r="B191" s="62">
        <f>IF(Tool!$E195="Copy",Tool!B195,NA())</f>
        <v>0.1462243285539245</v>
      </c>
      <c r="C191" s="62">
        <f>IF(Tool!$E195="Copy",Tool!C195,NA())</f>
        <v>44.923887262826142</v>
      </c>
      <c r="D191" s="67">
        <f>IF(Tool!$E195="Copy",Tool!D195,NA())</f>
        <v>1.7546919426470939</v>
      </c>
    </row>
    <row r="192" spans="1:4" x14ac:dyDescent="0.25">
      <c r="A192" s="66">
        <f>IF(Tool!$E196="Copy",Tool!A196,NA())</f>
        <v>0.65972222222222043</v>
      </c>
      <c r="B192" s="62">
        <f>IF(Tool!$E196="Copy",Tool!B196,NA())</f>
        <v>0.14905447684852263</v>
      </c>
      <c r="C192" s="62">
        <f>IF(Tool!$E196="Copy",Tool!C196,NA())</f>
        <v>45.072941739674661</v>
      </c>
      <c r="D192" s="67">
        <f>IF(Tool!$E196="Copy",Tool!D196,NA())</f>
        <v>1.7886537221822716</v>
      </c>
    </row>
    <row r="193" spans="1:4" x14ac:dyDescent="0.25">
      <c r="A193" s="66">
        <f>IF(Tool!$E197="Copy",Tool!A197,NA())</f>
        <v>0.66319444444444264</v>
      </c>
      <c r="B193" s="62">
        <f>IF(Tool!$E197="Copy",Tool!B197,NA())</f>
        <v>0.14905447684852263</v>
      </c>
      <c r="C193" s="62">
        <f>IF(Tool!$E197="Copy",Tool!C197,NA())</f>
        <v>45.221996216523181</v>
      </c>
      <c r="D193" s="67">
        <f>IF(Tool!$E197="Copy",Tool!D197,NA())</f>
        <v>1.7886537221822716</v>
      </c>
    </row>
    <row r="194" spans="1:4" x14ac:dyDescent="0.25">
      <c r="A194" s="66">
        <f>IF(Tool!$E198="Copy",Tool!A198,NA())</f>
        <v>0.66666666666666485</v>
      </c>
      <c r="B194" s="62">
        <f>IF(Tool!$E198="Copy",Tool!B198,NA())</f>
        <v>0.1462243285539245</v>
      </c>
      <c r="C194" s="62">
        <f>IF(Tool!$E198="Copy",Tool!C198,NA())</f>
        <v>45.368220545077108</v>
      </c>
      <c r="D194" s="67">
        <f>IF(Tool!$E198="Copy",Tool!D198,NA())</f>
        <v>1.7546919426470939</v>
      </c>
    </row>
    <row r="195" spans="1:4" x14ac:dyDescent="0.25">
      <c r="A195" s="66">
        <f>IF(Tool!$E199="Copy",Tool!A199,NA())</f>
        <v>0.67013888888888706</v>
      </c>
      <c r="B195" s="62">
        <f>IF(Tool!$E199="Copy",Tool!B199,NA())</f>
        <v>0.14622432855393078</v>
      </c>
      <c r="C195" s="62">
        <f>IF(Tool!$E199="Copy",Tool!C199,NA())</f>
        <v>45.514444873631035</v>
      </c>
      <c r="D195" s="67">
        <f>IF(Tool!$E199="Copy",Tool!D199,NA())</f>
        <v>1.7546919426471694</v>
      </c>
    </row>
    <row r="196" spans="1:4" x14ac:dyDescent="0.25">
      <c r="A196" s="66">
        <f>IF(Tool!$E200="Copy",Tool!A200,NA())</f>
        <v>0.67361111111110927</v>
      </c>
      <c r="B196" s="62">
        <f>IF(Tool!$E200="Copy",Tool!B200,NA())</f>
        <v>0.14150741472960476</v>
      </c>
      <c r="C196" s="62">
        <f>IF(Tool!$E200="Copy",Tool!C200,NA())</f>
        <v>45.655952288360638</v>
      </c>
      <c r="D196" s="67">
        <f>IF(Tool!$E200="Copy",Tool!D200,NA())</f>
        <v>1.6980889767552572</v>
      </c>
    </row>
    <row r="197" spans="1:4" x14ac:dyDescent="0.25">
      <c r="A197" s="66">
        <f>IF(Tool!$E201="Copy",Tool!A201,NA())</f>
        <v>0.67708333333333148</v>
      </c>
      <c r="B197" s="62">
        <f>IF(Tool!$E201="Copy",Tool!B201,NA())</f>
        <v>0.14528094578906683</v>
      </c>
      <c r="C197" s="62">
        <f>IF(Tool!$E201="Copy",Tool!C201,NA())</f>
        <v>45.801233234149706</v>
      </c>
      <c r="D197" s="67">
        <f>IF(Tool!$E201="Copy",Tool!D201,NA())</f>
        <v>1.7433713494688021</v>
      </c>
    </row>
    <row r="198" spans="1:4" x14ac:dyDescent="0.25">
      <c r="A198" s="66">
        <f>IF(Tool!$E202="Copy",Tool!A202,NA())</f>
        <v>0.68055555555555369</v>
      </c>
      <c r="B198" s="62">
        <f>IF(Tool!$E202="Copy",Tool!B202,NA())</f>
        <v>0.14339418025933895</v>
      </c>
      <c r="C198" s="62">
        <f>IF(Tool!$E202="Copy",Tool!C202,NA())</f>
        <v>45.944627414409048</v>
      </c>
      <c r="D198" s="67">
        <f>IF(Tool!$E202="Copy",Tool!D202,NA())</f>
        <v>1.7207301631120675</v>
      </c>
    </row>
    <row r="199" spans="1:4" x14ac:dyDescent="0.25">
      <c r="A199" s="66">
        <f>IF(Tool!$E203="Copy",Tool!A203,NA())</f>
        <v>0.6840277777777759</v>
      </c>
      <c r="B199" s="62">
        <f>IF(Tool!$E203="Copy",Tool!B203,NA())</f>
        <v>0.14339418025933265</v>
      </c>
      <c r="C199" s="62">
        <f>IF(Tool!$E203="Copy",Tool!C203,NA())</f>
        <v>46.088021594668383</v>
      </c>
      <c r="D199" s="67">
        <f>IF(Tool!$E203="Copy",Tool!D203,NA())</f>
        <v>1.7207301631119918</v>
      </c>
    </row>
    <row r="200" spans="1:4" x14ac:dyDescent="0.25">
      <c r="A200" s="66">
        <f>IF(Tool!$E204="Copy",Tool!A204,NA())</f>
        <v>0.68749999999999811</v>
      </c>
      <c r="B200" s="62">
        <f>IF(Tool!$E204="Copy",Tool!B204,NA())</f>
        <v>0.14528094578906056</v>
      </c>
      <c r="C200" s="62">
        <f>IF(Tool!$E204="Copy",Tool!C204,NA())</f>
        <v>46.233302540457444</v>
      </c>
      <c r="D200" s="67">
        <f>IF(Tool!$E204="Copy",Tool!D204,NA())</f>
        <v>1.7433713494687266</v>
      </c>
    </row>
    <row r="201" spans="1:4" x14ac:dyDescent="0.25">
      <c r="A201" s="66">
        <f>IF(Tool!$E205="Copy",Tool!A205,NA())</f>
        <v>0.69097222222222032</v>
      </c>
      <c r="B201" s="62">
        <f>IF(Tool!$E205="Copy",Tool!B205,NA())</f>
        <v>0.14150741472961104</v>
      </c>
      <c r="C201" s="62">
        <f>IF(Tool!$E205="Copy",Tool!C205,NA())</f>
        <v>46.374809955187054</v>
      </c>
      <c r="D201" s="67">
        <f>IF(Tool!$E205="Copy",Tool!D205,NA())</f>
        <v>1.6980889767553324</v>
      </c>
    </row>
    <row r="202" spans="1:4" x14ac:dyDescent="0.25">
      <c r="A202" s="66">
        <f>IF(Tool!$E206="Copy",Tool!A206,NA())</f>
        <v>0.69444444444444253</v>
      </c>
      <c r="B202" s="62">
        <f>IF(Tool!$E206="Copy",Tool!B206,NA())</f>
        <v>0.14150741472961104</v>
      </c>
      <c r="C202" s="62">
        <f>IF(Tool!$E206="Copy",Tool!C206,NA())</f>
        <v>46.516317369916663</v>
      </c>
      <c r="D202" s="67">
        <f>IF(Tool!$E206="Copy",Tool!D206,NA())</f>
        <v>1.6980889767553324</v>
      </c>
    </row>
    <row r="203" spans="1:4" x14ac:dyDescent="0.25">
      <c r="A203" s="66">
        <f>IF(Tool!$E207="Copy",Tool!A207,NA())</f>
        <v>0.69791666666666474</v>
      </c>
      <c r="B203" s="62">
        <f>IF(Tool!$E207="Copy",Tool!B207,NA())</f>
        <v>0.13773388367014897</v>
      </c>
      <c r="C203" s="62">
        <f>IF(Tool!$E207="Copy",Tool!C207,NA())</f>
        <v>46.654051253586815</v>
      </c>
      <c r="D203" s="67">
        <f>IF(Tool!$E207="Copy",Tool!D207,NA())</f>
        <v>1.6528066040417877</v>
      </c>
    </row>
    <row r="204" spans="1:4" x14ac:dyDescent="0.25">
      <c r="A204" s="66">
        <f>IF(Tool!$E208="Copy",Tool!A208,NA())</f>
        <v>0.70138888888888695</v>
      </c>
      <c r="B204" s="62">
        <f>IF(Tool!$E208="Copy",Tool!B208,NA())</f>
        <v>0.13962064919987688</v>
      </c>
      <c r="C204" s="62">
        <f>IF(Tool!$E208="Copy",Tool!C208,NA())</f>
        <v>46.793671902786691</v>
      </c>
      <c r="D204" s="67">
        <f>IF(Tool!$E208="Copy",Tool!D208,NA())</f>
        <v>1.6754477903985225</v>
      </c>
    </row>
    <row r="205" spans="1:4" x14ac:dyDescent="0.25">
      <c r="A205" s="66">
        <f>IF(Tool!$E209="Copy",Tool!A209,NA())</f>
        <v>0.70486111111110916</v>
      </c>
      <c r="B205" s="62">
        <f>IF(Tool!$E209="Copy",Tool!B209,NA())</f>
        <v>0.14150741472961104</v>
      </c>
      <c r="C205" s="62">
        <f>IF(Tool!$E209="Copy",Tool!C209,NA())</f>
        <v>46.935179317516301</v>
      </c>
      <c r="D205" s="67">
        <f>IF(Tool!$E209="Copy",Tool!D209,NA())</f>
        <v>1.6980889767553324</v>
      </c>
    </row>
    <row r="206" spans="1:4" x14ac:dyDescent="0.25">
      <c r="A206" s="66">
        <f>IF(Tool!$E210="Copy",Tool!A210,NA())</f>
        <v>0.70833333333333137</v>
      </c>
      <c r="B206" s="62">
        <f>IF(Tool!$E210="Copy",Tool!B210,NA())</f>
        <v>0.14056403196474082</v>
      </c>
      <c r="C206" s="62">
        <f>IF(Tool!$E210="Copy",Tool!C210,NA())</f>
        <v>47.075743349481044</v>
      </c>
      <c r="D206" s="67">
        <f>IF(Tool!$E210="Copy",Tool!D210,NA())</f>
        <v>1.6867683835768899</v>
      </c>
    </row>
    <row r="207" spans="1:4" x14ac:dyDescent="0.25">
      <c r="A207" s="66">
        <f>IF(Tool!$E211="Copy",Tool!A211,NA())</f>
        <v>0.71180555555555358</v>
      </c>
      <c r="B207" s="62">
        <f>IF(Tool!$E211="Copy",Tool!B211,NA())</f>
        <v>0.13679050090528502</v>
      </c>
      <c r="C207" s="62">
        <f>IF(Tool!$E211="Copy",Tool!C211,NA())</f>
        <v>47.212533850386329</v>
      </c>
      <c r="D207" s="67">
        <f>IF(Tool!$E211="Copy",Tool!D211,NA())</f>
        <v>1.6414860108634204</v>
      </c>
    </row>
    <row r="208" spans="1:4" x14ac:dyDescent="0.25">
      <c r="A208" s="66">
        <f>IF(Tool!$E212="Copy",Tool!A212,NA())</f>
        <v>0.71527777777777579</v>
      </c>
      <c r="B208" s="62">
        <f>IF(Tool!$E212="Copy",Tool!B212,NA())</f>
        <v>0.13679050090528502</v>
      </c>
      <c r="C208" s="62">
        <f>IF(Tool!$E212="Copy",Tool!C212,NA())</f>
        <v>47.349324351291614</v>
      </c>
      <c r="D208" s="67">
        <f>IF(Tool!$E212="Copy",Tool!D212,NA())</f>
        <v>1.6414860108634204</v>
      </c>
    </row>
    <row r="209" spans="1:4" x14ac:dyDescent="0.25">
      <c r="A209" s="66">
        <f>IF(Tool!$E213="Copy",Tool!A213,NA())</f>
        <v>0.718749999999998</v>
      </c>
      <c r="B209" s="62">
        <f>IF(Tool!$E213="Copy",Tool!B213,NA())</f>
        <v>0.1367905009052913</v>
      </c>
      <c r="C209" s="62">
        <f>IF(Tool!$E213="Copy",Tool!C213,NA())</f>
        <v>47.486114852196906</v>
      </c>
      <c r="D209" s="67">
        <f>IF(Tool!$E213="Copy",Tool!D213,NA())</f>
        <v>1.6414860108634954</v>
      </c>
    </row>
    <row r="210" spans="1:4" x14ac:dyDescent="0.25">
      <c r="A210" s="66">
        <f>IF(Tool!$E214="Copy",Tool!A214,NA())</f>
        <v>0.72222222222222021</v>
      </c>
      <c r="B210" s="62">
        <f>IF(Tool!$E214="Copy",Tool!B214,NA())</f>
        <v>0.1367905009052913</v>
      </c>
      <c r="C210" s="62">
        <f>IF(Tool!$E214="Copy",Tool!C214,NA())</f>
        <v>47.622905353102198</v>
      </c>
      <c r="D210" s="67">
        <f>IF(Tool!$E214="Copy",Tool!D214,NA())</f>
        <v>1.6414860108634954</v>
      </c>
    </row>
    <row r="211" spans="1:4" x14ac:dyDescent="0.25">
      <c r="A211" s="66">
        <f>IF(Tool!$E215="Copy",Tool!A215,NA())</f>
        <v>0.72569444444444242</v>
      </c>
      <c r="B211" s="62">
        <f>IF(Tool!$E215="Copy",Tool!B215,NA())</f>
        <v>0.13679050090528502</v>
      </c>
      <c r="C211" s="62">
        <f>IF(Tool!$E215="Copy",Tool!C215,NA())</f>
        <v>47.759695854007482</v>
      </c>
      <c r="D211" s="67">
        <f>IF(Tool!$E215="Copy",Tool!D215,NA())</f>
        <v>1.6414860108634204</v>
      </c>
    </row>
    <row r="212" spans="1:4" x14ac:dyDescent="0.25">
      <c r="A212" s="66">
        <f>IF(Tool!$E216="Copy",Tool!A216,NA())</f>
        <v>0.72916666666666463</v>
      </c>
      <c r="B212" s="62">
        <f>IF(Tool!$E216="Copy",Tool!B216,NA())</f>
        <v>0.13679050090528502</v>
      </c>
      <c r="C212" s="62">
        <f>IF(Tool!$E216="Copy",Tool!C216,NA())</f>
        <v>47.896486354912767</v>
      </c>
      <c r="D212" s="67">
        <f>IF(Tool!$E216="Copy",Tool!D216,NA())</f>
        <v>1.6414860108634204</v>
      </c>
    </row>
    <row r="213" spans="1:4" x14ac:dyDescent="0.25">
      <c r="A213" s="66">
        <f>IF(Tool!$E217="Copy",Tool!A217,NA())</f>
        <v>0.73263888888888684</v>
      </c>
      <c r="B213" s="62">
        <f>IF(Tool!$E217="Copy",Tool!B217,NA())</f>
        <v>0.1367905009052913</v>
      </c>
      <c r="C213" s="62">
        <f>IF(Tool!$E217="Copy",Tool!C217,NA())</f>
        <v>48.033276855818059</v>
      </c>
      <c r="D213" s="67">
        <f>IF(Tool!$E217="Copy",Tool!D217,NA())</f>
        <v>1.6414860108634954</v>
      </c>
    </row>
    <row r="214" spans="1:4" x14ac:dyDescent="0.25">
      <c r="A214" s="66">
        <f>IF(Tool!$E218="Copy",Tool!A218,NA())</f>
        <v>0.73611111111110905</v>
      </c>
      <c r="B214" s="62">
        <f>IF(Tool!$E218="Copy",Tool!B218,NA())</f>
        <v>0.13207358708096528</v>
      </c>
      <c r="C214" s="62">
        <f>IF(Tool!$E218="Copy",Tool!C218,NA())</f>
        <v>48.165350442899026</v>
      </c>
      <c r="D214" s="67">
        <f>IF(Tool!$E218="Copy",Tool!D218,NA())</f>
        <v>1.5848830449715834</v>
      </c>
    </row>
    <row r="215" spans="1:4" x14ac:dyDescent="0.25">
      <c r="A215" s="66">
        <f>IF(Tool!$E219="Copy",Tool!A219,NA())</f>
        <v>0.73958333333333126</v>
      </c>
      <c r="B215" s="62">
        <f>IF(Tool!$E219="Copy",Tool!B219,NA())</f>
        <v>0.13207358708096528</v>
      </c>
      <c r="C215" s="62">
        <f>IF(Tool!$E219="Copy",Tool!C219,NA())</f>
        <v>48.297424029979993</v>
      </c>
      <c r="D215" s="67">
        <f>IF(Tool!$E219="Copy",Tool!D219,NA())</f>
        <v>1.5848830449715834</v>
      </c>
    </row>
    <row r="216" spans="1:4" x14ac:dyDescent="0.25">
      <c r="A216" s="66">
        <f>IF(Tool!$E220="Copy",Tool!A220,NA())</f>
        <v>0.74305555555555347</v>
      </c>
      <c r="B216" s="62">
        <f>IF(Tool!$E220="Copy",Tool!B220,NA())</f>
        <v>0.13207358708096528</v>
      </c>
      <c r="C216" s="62">
        <f>IF(Tool!$E220="Copy",Tool!C220,NA())</f>
        <v>48.42949761706096</v>
      </c>
      <c r="D216" s="67">
        <f>IF(Tool!$E220="Copy",Tool!D220,NA())</f>
        <v>1.5848830449715834</v>
      </c>
    </row>
    <row r="217" spans="1:4" x14ac:dyDescent="0.25">
      <c r="A217" s="66">
        <f>IF(Tool!$E221="Copy",Tool!A221,NA())</f>
        <v>0.74652777777777568</v>
      </c>
      <c r="B217" s="62">
        <f>IF(Tool!$E221="Copy",Tool!B221,NA())</f>
        <v>0.13207358708097158</v>
      </c>
      <c r="C217" s="62">
        <f>IF(Tool!$E221="Copy",Tool!C221,NA())</f>
        <v>48.561571204141934</v>
      </c>
      <c r="D217" s="67">
        <f>IF(Tool!$E221="Copy",Tool!D221,NA())</f>
        <v>1.5848830449716589</v>
      </c>
    </row>
    <row r="218" spans="1:4" x14ac:dyDescent="0.25">
      <c r="A218" s="66">
        <f>IF(Tool!$E222="Copy",Tool!A222,NA())</f>
        <v>0.74999999999999789</v>
      </c>
      <c r="B218" s="62">
        <f>IF(Tool!$E222="Copy",Tool!B222,NA())</f>
        <v>0.13207358708097158</v>
      </c>
      <c r="C218" s="62">
        <f>IF(Tool!$E222="Copy",Tool!C222,NA())</f>
        <v>48.693644791222908</v>
      </c>
      <c r="D218" s="67">
        <f>IF(Tool!$E222="Copy",Tool!D222,NA())</f>
        <v>1.5848830449716589</v>
      </c>
    </row>
    <row r="219" spans="1:4" x14ac:dyDescent="0.25">
      <c r="A219" s="66">
        <f>IF(Tool!$E223="Copy",Tool!A223,NA())</f>
        <v>0.7534722222222201</v>
      </c>
      <c r="B219" s="62">
        <f>IF(Tool!$E223="Copy",Tool!B223,NA())</f>
        <v>0.13207358708096528</v>
      </c>
      <c r="C219" s="62">
        <f>IF(Tool!$E223="Copy",Tool!C223,NA())</f>
        <v>48.825718378303876</v>
      </c>
      <c r="D219" s="67">
        <f>IF(Tool!$E223="Copy",Tool!D223,NA())</f>
        <v>1.5848830449715834</v>
      </c>
    </row>
    <row r="220" spans="1:4" x14ac:dyDescent="0.25">
      <c r="A220" s="66">
        <f>IF(Tool!$E224="Copy",Tool!A224,NA())</f>
        <v>0.75694444444444231</v>
      </c>
      <c r="B220" s="62">
        <f>IF(Tool!$E224="Copy",Tool!B224,NA())</f>
        <v>0.13207358708096528</v>
      </c>
      <c r="C220" s="62">
        <f>IF(Tool!$E224="Copy",Tool!C224,NA())</f>
        <v>48.957791965384843</v>
      </c>
      <c r="D220" s="67">
        <f>IF(Tool!$E224="Copy",Tool!D224,NA())</f>
        <v>1.5848830449715834</v>
      </c>
    </row>
    <row r="221" spans="1:4" x14ac:dyDescent="0.25">
      <c r="A221" s="66">
        <f>IF(Tool!$E225="Copy",Tool!A225,NA())</f>
        <v>0.76041666666666452</v>
      </c>
      <c r="B221" s="62">
        <f>IF(Tool!$E225="Copy",Tool!B225,NA())</f>
        <v>0.12830005602150948</v>
      </c>
      <c r="C221" s="62">
        <f>IF(Tool!$E225="Copy",Tool!C225,NA())</f>
        <v>49.086092021406351</v>
      </c>
      <c r="D221" s="67">
        <f>IF(Tool!$E225="Copy",Tool!D225,NA())</f>
        <v>1.5396006722581137</v>
      </c>
    </row>
    <row r="222" spans="1:4" x14ac:dyDescent="0.25">
      <c r="A222" s="66">
        <f>IF(Tool!$E226="Copy",Tool!A226,NA())</f>
        <v>0.76388888888888673</v>
      </c>
      <c r="B222" s="62">
        <f>IF(Tool!$E226="Copy",Tool!B226,NA())</f>
        <v>0.1301868215512374</v>
      </c>
      <c r="C222" s="62">
        <f>IF(Tool!$E226="Copy",Tool!C226,NA())</f>
        <v>49.216278842957585</v>
      </c>
      <c r="D222" s="67">
        <f>IF(Tool!$E226="Copy",Tool!D226,NA())</f>
        <v>1.5622418586148488</v>
      </c>
    </row>
    <row r="223" spans="1:4" x14ac:dyDescent="0.25">
      <c r="A223" s="66">
        <f>IF(Tool!$E227="Copy",Tool!A227,NA())</f>
        <v>0.76736111111110894</v>
      </c>
      <c r="B223" s="62">
        <f>IF(Tool!$E227="Copy",Tool!B227,NA())</f>
        <v>0.13018682155124367</v>
      </c>
      <c r="C223" s="62">
        <f>IF(Tool!$E227="Copy",Tool!C227,NA())</f>
        <v>49.346465664508827</v>
      </c>
      <c r="D223" s="67">
        <f>IF(Tool!$E227="Copy",Tool!D227,NA())</f>
        <v>1.562241858614924</v>
      </c>
    </row>
    <row r="224" spans="1:4" x14ac:dyDescent="0.25">
      <c r="A224" s="66">
        <f>IF(Tool!$E228="Copy",Tool!A228,NA())</f>
        <v>0.77083333333333115</v>
      </c>
      <c r="B224" s="62">
        <f>IF(Tool!$E228="Copy",Tool!B228,NA())</f>
        <v>0.12735667325664554</v>
      </c>
      <c r="C224" s="62">
        <f>IF(Tool!$E228="Copy",Tool!C228,NA())</f>
        <v>49.473822337765469</v>
      </c>
      <c r="D224" s="67">
        <f>IF(Tool!$E228="Copy",Tool!D228,NA())</f>
        <v>1.5282800790797464</v>
      </c>
    </row>
    <row r="225" spans="1:4" x14ac:dyDescent="0.25">
      <c r="A225" s="66">
        <f>IF(Tool!$E229="Copy",Tool!A229,NA())</f>
        <v>0.77430555555555336</v>
      </c>
      <c r="B225" s="62">
        <f>IF(Tool!$E229="Copy",Tool!B229,NA())</f>
        <v>0.12735667325664554</v>
      </c>
      <c r="C225" s="62">
        <f>IF(Tool!$E229="Copy",Tool!C229,NA())</f>
        <v>49.601179011022111</v>
      </c>
      <c r="D225" s="67">
        <f>IF(Tool!$E229="Copy",Tool!D229,NA())</f>
        <v>1.5282800790797464</v>
      </c>
    </row>
    <row r="226" spans="1:4" x14ac:dyDescent="0.25">
      <c r="A226" s="66">
        <f>IF(Tool!$E230="Copy",Tool!A230,NA())</f>
        <v>0.77777777777777557</v>
      </c>
      <c r="B226" s="62">
        <f>IF(Tool!$E230="Copy",Tool!B230,NA())</f>
        <v>0.12735667325664554</v>
      </c>
      <c r="C226" s="62">
        <f>IF(Tool!$E230="Copy",Tool!C230,NA())</f>
        <v>49.728535684278754</v>
      </c>
      <c r="D226" s="67">
        <f>IF(Tool!$E230="Copy",Tool!D230,NA())</f>
        <v>1.5282800790797464</v>
      </c>
    </row>
    <row r="227" spans="1:4" x14ac:dyDescent="0.25">
      <c r="A227" s="66">
        <f>IF(Tool!$E231="Copy",Tool!A231,NA())</f>
        <v>0.78124999999999778</v>
      </c>
      <c r="B227" s="62">
        <f>IF(Tool!$E231="Copy",Tool!B231,NA())</f>
        <v>0.12735667325665184</v>
      </c>
      <c r="C227" s="62">
        <f>IF(Tool!$E231="Copy",Tool!C231,NA())</f>
        <v>49.855892357535403</v>
      </c>
      <c r="D227" s="67">
        <f>IF(Tool!$E231="Copy",Tool!D231,NA())</f>
        <v>1.5282800790798221</v>
      </c>
    </row>
    <row r="228" spans="1:4" x14ac:dyDescent="0.25">
      <c r="A228" s="66">
        <f>IF(Tool!$E232="Copy",Tool!A232,NA())</f>
        <v>0.78472222222221999</v>
      </c>
      <c r="B228" s="62">
        <f>IF(Tool!$E232="Copy",Tool!B232,NA())</f>
        <v>0.12735667325664554</v>
      </c>
      <c r="C228" s="62">
        <f>IF(Tool!$E232="Copy",Tool!C232,NA())</f>
        <v>49.983249030792045</v>
      </c>
      <c r="D228" s="67">
        <f>IF(Tool!$E232="Copy",Tool!D232,NA())</f>
        <v>1.5282800790797464</v>
      </c>
    </row>
    <row r="229" spans="1:4" x14ac:dyDescent="0.25">
      <c r="A229" s="66">
        <f>IF(Tool!$E233="Copy",Tool!A233,NA())</f>
        <v>0.7881944444444422</v>
      </c>
      <c r="B229" s="62">
        <f>IF(Tool!$E233="Copy",Tool!B233,NA())</f>
        <v>0.12546990772691766</v>
      </c>
      <c r="C229" s="62">
        <f>IF(Tool!$E233="Copy",Tool!C233,NA())</f>
        <v>50.108718938518962</v>
      </c>
      <c r="D229" s="67">
        <f>IF(Tool!$E233="Copy",Tool!D233,NA())</f>
        <v>1.5056388927230118</v>
      </c>
    </row>
    <row r="230" spans="1:4" x14ac:dyDescent="0.25">
      <c r="A230" s="66">
        <f>IF(Tool!$E234="Copy",Tool!A234,NA())</f>
        <v>0.79166666666666441</v>
      </c>
      <c r="B230" s="62">
        <f>IF(Tool!$E234="Copy",Tool!B234,NA())</f>
        <v>0.1226397594323258</v>
      </c>
      <c r="C230" s="62">
        <f>IF(Tool!$E234="Copy",Tool!C234,NA())</f>
        <v>50.231358697951286</v>
      </c>
      <c r="D230" s="67">
        <f>IF(Tool!$E234="Copy",Tool!D234,NA())</f>
        <v>1.4716771131879096</v>
      </c>
    </row>
    <row r="231" spans="1:4" x14ac:dyDescent="0.25">
      <c r="A231" s="66">
        <f>IF(Tool!$E235="Copy",Tool!A235,NA())</f>
        <v>0.79513888888888662</v>
      </c>
      <c r="B231" s="62">
        <f>IF(Tool!$E235="Copy",Tool!B235,NA())</f>
        <v>0.1226397594323258</v>
      </c>
      <c r="C231" s="62">
        <f>IF(Tool!$E235="Copy",Tool!C235,NA())</f>
        <v>50.353998457383611</v>
      </c>
      <c r="D231" s="67">
        <f>IF(Tool!$E235="Copy",Tool!D235,NA())</f>
        <v>1.4716771131879096</v>
      </c>
    </row>
    <row r="232" spans="1:4" x14ac:dyDescent="0.25">
      <c r="A232" s="66">
        <f>IF(Tool!$E236="Copy",Tool!A236,NA())</f>
        <v>0.79861111111110883</v>
      </c>
      <c r="B232" s="62">
        <f>IF(Tool!$E236="Copy",Tool!B236,NA())</f>
        <v>0.12735667325665184</v>
      </c>
      <c r="C232" s="62">
        <f>IF(Tool!$E236="Copy",Tool!C236,NA())</f>
        <v>50.48135513064026</v>
      </c>
      <c r="D232" s="67">
        <f>IF(Tool!$E236="Copy",Tool!D236,NA())</f>
        <v>1.5282800790798221</v>
      </c>
    </row>
    <row r="233" spans="1:4" x14ac:dyDescent="0.25">
      <c r="A233" s="66">
        <f>IF(Tool!$E237="Copy",Tool!A237,NA())</f>
        <v>0.80208333333333104</v>
      </c>
      <c r="B233" s="62">
        <f>IF(Tool!$E237="Copy",Tool!B237,NA())</f>
        <v>0.12358314219718976</v>
      </c>
      <c r="C233" s="62">
        <f>IF(Tool!$E237="Copy",Tool!C237,NA())</f>
        <v>50.604938272837451</v>
      </c>
      <c r="D233" s="67">
        <f>IF(Tool!$E237="Copy",Tool!D237,NA())</f>
        <v>1.4829977063662771</v>
      </c>
    </row>
    <row r="234" spans="1:4" x14ac:dyDescent="0.25">
      <c r="A234" s="66">
        <f>IF(Tool!$E238="Copy",Tool!A238,NA())</f>
        <v>0.80555555555555325</v>
      </c>
      <c r="B234" s="62">
        <f>IF(Tool!$E238="Copy",Tool!B238,NA())</f>
        <v>0.11980961113773396</v>
      </c>
      <c r="C234" s="62">
        <f>IF(Tool!$E238="Copy",Tool!C238,NA())</f>
        <v>50.724747883975184</v>
      </c>
      <c r="D234" s="67">
        <f>IF(Tool!$E238="Copy",Tool!D238,NA())</f>
        <v>1.4377153336528075</v>
      </c>
    </row>
    <row r="235" spans="1:4" x14ac:dyDescent="0.25">
      <c r="A235" s="66">
        <f>IF(Tool!$E239="Copy",Tool!A239,NA())</f>
        <v>0.80902777777777546</v>
      </c>
      <c r="B235" s="62">
        <f>IF(Tool!$E239="Copy",Tool!B239,NA())</f>
        <v>0.11980961113773396</v>
      </c>
      <c r="C235" s="62">
        <f>IF(Tool!$E239="Copy",Tool!C239,NA())</f>
        <v>50.844557495112916</v>
      </c>
      <c r="D235" s="67">
        <f>IF(Tool!$E239="Copy",Tool!D239,NA())</f>
        <v>1.4377153336528075</v>
      </c>
    </row>
    <row r="236" spans="1:4" x14ac:dyDescent="0.25">
      <c r="A236" s="66">
        <f>IF(Tool!$E240="Copy",Tool!A240,NA())</f>
        <v>0.81249999999999767</v>
      </c>
      <c r="B236" s="62">
        <f>IF(Tool!$E240="Copy",Tool!B240,NA())</f>
        <v>0.1226397594323258</v>
      </c>
      <c r="C236" s="62">
        <f>IF(Tool!$E240="Copy",Tool!C240,NA())</f>
        <v>50.967197254545241</v>
      </c>
      <c r="D236" s="67">
        <f>IF(Tool!$E240="Copy",Tool!D240,NA())</f>
        <v>1.4716771131879096</v>
      </c>
    </row>
    <row r="237" spans="1:4" x14ac:dyDescent="0.25">
      <c r="A237" s="66">
        <f>IF(Tool!$E241="Copy",Tool!A241,NA())</f>
        <v>0.81597222222221988</v>
      </c>
      <c r="B237" s="62">
        <f>IF(Tool!$E241="Copy",Tool!B241,NA())</f>
        <v>0.1226397594323258</v>
      </c>
      <c r="C237" s="62">
        <f>IF(Tool!$E241="Copy",Tool!C241,NA())</f>
        <v>51.089837013977565</v>
      </c>
      <c r="D237" s="67">
        <f>IF(Tool!$E241="Copy",Tool!D241,NA())</f>
        <v>1.4716771131879096</v>
      </c>
    </row>
    <row r="238" spans="1:4" x14ac:dyDescent="0.25">
      <c r="A238" s="66">
        <f>IF(Tool!$E242="Copy",Tool!A242,NA())</f>
        <v>0.81944444444444209</v>
      </c>
      <c r="B238" s="62">
        <f>IF(Tool!$E242="Copy",Tool!B242,NA())</f>
        <v>0.11792284560800606</v>
      </c>
      <c r="C238" s="62">
        <f>IF(Tool!$E242="Copy",Tool!C242,NA())</f>
        <v>51.207759859585572</v>
      </c>
      <c r="D238" s="67">
        <f>IF(Tool!$E242="Copy",Tool!D242,NA())</f>
        <v>1.4150741472960728</v>
      </c>
    </row>
    <row r="239" spans="1:4" x14ac:dyDescent="0.25">
      <c r="A239" s="66">
        <f>IF(Tool!$E243="Copy",Tool!A243,NA())</f>
        <v>0.8229166666666643</v>
      </c>
      <c r="B239" s="62">
        <f>IF(Tool!$E243="Copy",Tool!B243,NA())</f>
        <v>0.11792284560800606</v>
      </c>
      <c r="C239" s="62">
        <f>IF(Tool!$E243="Copy",Tool!C243,NA())</f>
        <v>51.325682705193579</v>
      </c>
      <c r="D239" s="67">
        <f>IF(Tool!$E243="Copy",Tool!D243,NA())</f>
        <v>1.4150741472960728</v>
      </c>
    </row>
    <row r="240" spans="1:4" x14ac:dyDescent="0.25">
      <c r="A240" s="66">
        <f>IF(Tool!$E244="Copy",Tool!A244,NA())</f>
        <v>0.82638888888888651</v>
      </c>
      <c r="B240" s="62">
        <f>IF(Tool!$E244="Copy",Tool!B244,NA())</f>
        <v>0.11792284560800606</v>
      </c>
      <c r="C240" s="62">
        <f>IF(Tool!$E244="Copy",Tool!C244,NA())</f>
        <v>51.443605550801585</v>
      </c>
      <c r="D240" s="67">
        <f>IF(Tool!$E244="Copy",Tool!D244,NA())</f>
        <v>1.4150741472960728</v>
      </c>
    </row>
    <row r="241" spans="1:4" x14ac:dyDescent="0.25">
      <c r="A241" s="66">
        <f>IF(Tool!$E245="Copy",Tool!A245,NA())</f>
        <v>0.82986111111110872</v>
      </c>
      <c r="B241" s="62">
        <f>IF(Tool!$E245="Copy",Tool!B245,NA())</f>
        <v>0.11792284560801235</v>
      </c>
      <c r="C241" s="62">
        <f>IF(Tool!$E245="Copy",Tool!C245,NA())</f>
        <v>51.561528396409599</v>
      </c>
      <c r="D241" s="67">
        <f>IF(Tool!$E245="Copy",Tool!D245,NA())</f>
        <v>1.4150741472961481</v>
      </c>
    </row>
    <row r="242" spans="1:4" x14ac:dyDescent="0.25">
      <c r="A242" s="66">
        <f>IF(Tool!$E246="Copy",Tool!A246,NA())</f>
        <v>0.83333333333333093</v>
      </c>
      <c r="B242" s="62">
        <f>IF(Tool!$E246="Copy",Tool!B246,NA())</f>
        <v>0.11792284560799979</v>
      </c>
      <c r="C242" s="62">
        <f>IF(Tool!$E246="Copy",Tool!C246,NA())</f>
        <v>51.679451242017599</v>
      </c>
      <c r="D242" s="67">
        <f>IF(Tool!$E246="Copy",Tool!D246,NA())</f>
        <v>1.4150741472959973</v>
      </c>
    </row>
    <row r="243" spans="1:4" x14ac:dyDescent="0.25">
      <c r="A243" s="66">
        <f>IF(Tool!$E247="Copy",Tool!A247,NA())</f>
        <v>0.83680555555555314</v>
      </c>
      <c r="B243" s="62">
        <f>IF(Tool!$E247="Copy",Tool!B247,NA())</f>
        <v>0.11792284560801235</v>
      </c>
      <c r="C243" s="62">
        <f>IF(Tool!$E247="Copy",Tool!C247,NA())</f>
        <v>51.797374087625613</v>
      </c>
      <c r="D243" s="67">
        <f>IF(Tool!$E247="Copy",Tool!D247,NA())</f>
        <v>1.4150741472961481</v>
      </c>
    </row>
    <row r="244" spans="1:4" x14ac:dyDescent="0.25">
      <c r="A244" s="66">
        <f>IF(Tool!$E248="Copy",Tool!A248,NA())</f>
        <v>0.84027777777777535</v>
      </c>
      <c r="B244" s="62">
        <f>IF(Tool!$E248="Copy",Tool!B248,NA())</f>
        <v>0.11792284560800606</v>
      </c>
      <c r="C244" s="62">
        <f>IF(Tool!$E248="Copy",Tool!C248,NA())</f>
        <v>51.91529693323362</v>
      </c>
      <c r="D244" s="67">
        <f>IF(Tool!$E248="Copy",Tool!D248,NA())</f>
        <v>1.4150741472960728</v>
      </c>
    </row>
    <row r="245" spans="1:4" x14ac:dyDescent="0.25">
      <c r="A245" s="66">
        <f>IF(Tool!$E249="Copy",Tool!A249,NA())</f>
        <v>0.84374999999999756</v>
      </c>
      <c r="B245" s="62">
        <f>IF(Tool!$E249="Copy",Tool!B249,NA())</f>
        <v>0.11414931454855028</v>
      </c>
      <c r="C245" s="62">
        <f>IF(Tool!$E249="Copy",Tool!C249,NA())</f>
        <v>52.029446247782168</v>
      </c>
      <c r="D245" s="67">
        <f>IF(Tool!$E249="Copy",Tool!D249,NA())</f>
        <v>1.3697917745826034</v>
      </c>
    </row>
    <row r="246" spans="1:4" x14ac:dyDescent="0.25">
      <c r="A246" s="66">
        <f>IF(Tool!$E250="Copy",Tool!A250,NA())</f>
        <v>0.84722222222221977</v>
      </c>
      <c r="B246" s="62">
        <f>IF(Tool!$E250="Copy",Tool!B250,NA())</f>
        <v>0.11603608007827818</v>
      </c>
      <c r="C246" s="62">
        <f>IF(Tool!$E250="Copy",Tool!C250,NA())</f>
        <v>52.145482327860449</v>
      </c>
      <c r="D246" s="67">
        <f>IF(Tool!$E250="Copy",Tool!D250,NA())</f>
        <v>1.3924329609393382</v>
      </c>
    </row>
    <row r="247" spans="1:4" x14ac:dyDescent="0.25">
      <c r="A247" s="66">
        <f>IF(Tool!$E251="Copy",Tool!A251,NA())</f>
        <v>0.85069444444444198</v>
      </c>
      <c r="B247" s="62">
        <f>IF(Tool!$E251="Copy",Tool!B251,NA())</f>
        <v>0.11603608007827818</v>
      </c>
      <c r="C247" s="62">
        <f>IF(Tool!$E251="Copy",Tool!C251,NA())</f>
        <v>52.26151840793873</v>
      </c>
      <c r="D247" s="67">
        <f>IF(Tool!$E251="Copy",Tool!D251,NA())</f>
        <v>1.3924329609393382</v>
      </c>
    </row>
    <row r="248" spans="1:4" x14ac:dyDescent="0.25">
      <c r="A248" s="66">
        <f>IF(Tool!$E252="Copy",Tool!A252,NA())</f>
        <v>0.85416666666666419</v>
      </c>
      <c r="B248" s="62">
        <f>IF(Tool!$E252="Copy",Tool!B252,NA())</f>
        <v>0.11320593178368632</v>
      </c>
      <c r="C248" s="62">
        <f>IF(Tool!$E252="Copy",Tool!C252,NA())</f>
        <v>52.37472433972242</v>
      </c>
      <c r="D248" s="67">
        <f>IF(Tool!$E252="Copy",Tool!D252,NA())</f>
        <v>1.3584711814042358</v>
      </c>
    </row>
    <row r="249" spans="1:4" x14ac:dyDescent="0.25">
      <c r="A249" s="66">
        <f>IF(Tool!$E253="Copy",Tool!A253,NA())</f>
        <v>0.8576388888888864</v>
      </c>
      <c r="B249" s="62">
        <f>IF(Tool!$E253="Copy",Tool!B253,NA())</f>
        <v>0.11320593178368632</v>
      </c>
      <c r="C249" s="62">
        <f>IF(Tool!$E253="Copy",Tool!C253,NA())</f>
        <v>52.487930271506109</v>
      </c>
      <c r="D249" s="67">
        <f>IF(Tool!$E253="Copy",Tool!D253,NA())</f>
        <v>1.3584711814042358</v>
      </c>
    </row>
    <row r="250" spans="1:4" x14ac:dyDescent="0.25">
      <c r="A250" s="66">
        <f>IF(Tool!$E254="Copy",Tool!A254,NA())</f>
        <v>0.86111111111110861</v>
      </c>
      <c r="B250" s="62">
        <f>IF(Tool!$E254="Copy",Tool!B254,NA())</f>
        <v>0.11320593178368632</v>
      </c>
      <c r="C250" s="62">
        <f>IF(Tool!$E254="Copy",Tool!C254,NA())</f>
        <v>52.601136203289798</v>
      </c>
      <c r="D250" s="67">
        <f>IF(Tool!$E254="Copy",Tool!D254,NA())</f>
        <v>1.3584711814042358</v>
      </c>
    </row>
    <row r="251" spans="1:4" x14ac:dyDescent="0.25">
      <c r="A251" s="66">
        <f>IF(Tool!$E255="Copy",Tool!A255,NA())</f>
        <v>0.86458333333333082</v>
      </c>
      <c r="B251" s="62">
        <f>IF(Tool!$E255="Copy",Tool!B255,NA())</f>
        <v>0.11320593178368632</v>
      </c>
      <c r="C251" s="62">
        <f>IF(Tool!$E255="Copy",Tool!C255,NA())</f>
        <v>52.714342135073487</v>
      </c>
      <c r="D251" s="67">
        <f>IF(Tool!$E255="Copy",Tool!D255,NA())</f>
        <v>1.3584711814042358</v>
      </c>
    </row>
    <row r="252" spans="1:4" x14ac:dyDescent="0.25">
      <c r="A252" s="66">
        <f>IF(Tool!$E256="Copy",Tool!A256,NA())</f>
        <v>0.86805555555555303</v>
      </c>
      <c r="B252" s="62">
        <f>IF(Tool!$E256="Copy",Tool!B256,NA())</f>
        <v>0.11037578348909448</v>
      </c>
      <c r="C252" s="62">
        <f>IF(Tool!$E256="Copy",Tool!C256,NA())</f>
        <v>52.824717918562584</v>
      </c>
      <c r="D252" s="67">
        <f>IF(Tool!$E256="Copy",Tool!D256,NA())</f>
        <v>1.3245094018691337</v>
      </c>
    </row>
    <row r="253" spans="1:4" x14ac:dyDescent="0.25">
      <c r="A253" s="66">
        <f>IF(Tool!$E257="Copy",Tool!A257,NA())</f>
        <v>0.87152777777777524</v>
      </c>
      <c r="B253" s="62">
        <f>IF(Tool!$E257="Copy",Tool!B257,NA())</f>
        <v>0.11037578348909448</v>
      </c>
      <c r="C253" s="62">
        <f>IF(Tool!$E257="Copy",Tool!C257,NA())</f>
        <v>52.935093702051681</v>
      </c>
      <c r="D253" s="67">
        <f>IF(Tool!$E257="Copy",Tool!D257,NA())</f>
        <v>1.3245094018691337</v>
      </c>
    </row>
    <row r="254" spans="1:4" x14ac:dyDescent="0.25">
      <c r="A254" s="66">
        <f>IF(Tool!$E258="Copy",Tool!A258,NA())</f>
        <v>0.87499999999999745</v>
      </c>
      <c r="B254" s="62">
        <f>IF(Tool!$E258="Copy",Tool!B258,NA())</f>
        <v>0.11226254901881609</v>
      </c>
      <c r="C254" s="62">
        <f>IF(Tool!$E258="Copy",Tool!C258,NA())</f>
        <v>53.047356251070497</v>
      </c>
      <c r="D254" s="67">
        <f>IF(Tool!$E258="Copy",Tool!D258,NA())</f>
        <v>1.347150588225793</v>
      </c>
    </row>
    <row r="255" spans="1:4" x14ac:dyDescent="0.25">
      <c r="A255" s="66">
        <f>IF(Tool!$E259="Copy",Tool!A259,NA())</f>
        <v>0.87847222222221966</v>
      </c>
      <c r="B255" s="62">
        <f>IF(Tool!$E259="Copy",Tool!B259,NA())</f>
        <v>0.10848901795937287</v>
      </c>
      <c r="C255" s="62">
        <f>IF(Tool!$E259="Copy",Tool!C259,NA())</f>
        <v>53.155845269029868</v>
      </c>
      <c r="D255" s="67">
        <f>IF(Tool!$E259="Copy",Tool!D259,NA())</f>
        <v>1.3018682155124743</v>
      </c>
    </row>
    <row r="256" spans="1:4" x14ac:dyDescent="0.25">
      <c r="A256" s="66">
        <f>IF(Tool!$E260="Copy",Tool!A260,NA())</f>
        <v>0.88194444444444187</v>
      </c>
      <c r="B256" s="62">
        <f>IF(Tool!$E260="Copy",Tool!B260,NA())</f>
        <v>0.10848901795936658</v>
      </c>
      <c r="C256" s="62">
        <f>IF(Tool!$E260="Copy",Tool!C260,NA())</f>
        <v>53.264334286989232</v>
      </c>
      <c r="D256" s="67">
        <f>IF(Tool!$E260="Copy",Tool!D260,NA())</f>
        <v>1.3018682155123988</v>
      </c>
    </row>
    <row r="257" spans="1:4" x14ac:dyDescent="0.25">
      <c r="A257" s="66">
        <f>IF(Tool!$E261="Copy",Tool!A261,NA())</f>
        <v>0.88541666666666408</v>
      </c>
      <c r="B257" s="62">
        <f>IF(Tool!$E261="Copy",Tool!B261,NA())</f>
        <v>0.10848901795936031</v>
      </c>
      <c r="C257" s="62">
        <f>IF(Tool!$E261="Copy",Tool!C261,NA())</f>
        <v>53.372823304948589</v>
      </c>
      <c r="D257" s="67">
        <f>IF(Tool!$E261="Copy",Tool!D261,NA())</f>
        <v>1.3018682155123238</v>
      </c>
    </row>
    <row r="258" spans="1:4" x14ac:dyDescent="0.25">
      <c r="A258" s="66">
        <f>IF(Tool!$E262="Copy",Tool!A262,NA())</f>
        <v>0.88888888888888629</v>
      </c>
      <c r="B258" s="62">
        <f>IF(Tool!$E262="Copy",Tool!B262,NA())</f>
        <v>0.10848901795936658</v>
      </c>
      <c r="C258" s="62">
        <f>IF(Tool!$E262="Copy",Tool!C262,NA())</f>
        <v>53.481312322907954</v>
      </c>
      <c r="D258" s="67">
        <f>IF(Tool!$E262="Copy",Tool!D262,NA())</f>
        <v>1.3018682155123988</v>
      </c>
    </row>
    <row r="259" spans="1:4" x14ac:dyDescent="0.25">
      <c r="A259" s="66">
        <f>IF(Tool!$E263="Copy",Tool!A263,NA())</f>
        <v>0.8923611111111085</v>
      </c>
      <c r="B259" s="62">
        <f>IF(Tool!$E263="Copy",Tool!B263,NA())</f>
        <v>0.10660225242963869</v>
      </c>
      <c r="C259" s="62">
        <f>IF(Tool!$E263="Copy",Tool!C263,NA())</f>
        <v>53.587914575337592</v>
      </c>
      <c r="D259" s="67">
        <f>IF(Tool!$E263="Copy",Tool!D263,NA())</f>
        <v>1.2792270291556642</v>
      </c>
    </row>
    <row r="260" spans="1:4" x14ac:dyDescent="0.25">
      <c r="A260" s="66">
        <f>IF(Tool!$E264="Copy",Tool!A264,NA())</f>
        <v>0.89583333333333071</v>
      </c>
      <c r="B260" s="62">
        <f>IF(Tool!$E264="Copy",Tool!B264,NA())</f>
        <v>0.1047154868999108</v>
      </c>
      <c r="C260" s="62">
        <f>IF(Tool!$E264="Copy",Tool!C264,NA())</f>
        <v>53.692630062237505</v>
      </c>
      <c r="D260" s="67">
        <f>IF(Tool!$E264="Copy",Tool!D264,NA())</f>
        <v>1.2565858427989296</v>
      </c>
    </row>
    <row r="261" spans="1:4" x14ac:dyDescent="0.25">
      <c r="A261" s="66">
        <f>IF(Tool!$E265="Copy",Tool!A265,NA())</f>
        <v>0.89930555555555292</v>
      </c>
      <c r="B261" s="62">
        <f>IF(Tool!$E265="Copy",Tool!B265,NA())</f>
        <v>0.10848901795936658</v>
      </c>
      <c r="C261" s="62">
        <f>IF(Tool!$E265="Copy",Tool!C265,NA())</f>
        <v>53.80111908019687</v>
      </c>
      <c r="D261" s="67">
        <f>IF(Tool!$E265="Copy",Tool!D265,NA())</f>
        <v>1.3018682155123988</v>
      </c>
    </row>
    <row r="262" spans="1:4" x14ac:dyDescent="0.25">
      <c r="A262" s="66">
        <f>IF(Tool!$E266="Copy",Tool!A266,NA())</f>
        <v>0.90277777777777513</v>
      </c>
      <c r="B262" s="62">
        <f>IF(Tool!$E266="Copy",Tool!B266,NA())</f>
        <v>0.10377210413504685</v>
      </c>
      <c r="C262" s="62">
        <f>IF(Tool!$E266="Copy",Tool!C266,NA())</f>
        <v>53.904891184331916</v>
      </c>
      <c r="D262" s="67">
        <f>IF(Tool!$E266="Copy",Tool!D266,NA())</f>
        <v>1.2452652496205623</v>
      </c>
    </row>
    <row r="263" spans="1:4" x14ac:dyDescent="0.25">
      <c r="A263" s="66">
        <f>IF(Tool!$E267="Copy",Tool!A267,NA())</f>
        <v>0.90624999999999734</v>
      </c>
      <c r="B263" s="62">
        <f>IF(Tool!$E267="Copy",Tool!B267,NA())</f>
        <v>0.10754563519449635</v>
      </c>
      <c r="C263" s="62">
        <f>IF(Tool!$E267="Copy",Tool!C267,NA())</f>
        <v>54.012436819526414</v>
      </c>
      <c r="D263" s="67">
        <f>IF(Tool!$E267="Copy",Tool!D267,NA())</f>
        <v>1.2905476223339563</v>
      </c>
    </row>
    <row r="264" spans="1:4" x14ac:dyDescent="0.25">
      <c r="A264" s="66">
        <f>IF(Tool!$E268="Copy",Tool!A268,NA())</f>
        <v>0.90972222222221955</v>
      </c>
      <c r="B264" s="62">
        <f>IF(Tool!$E268="Copy",Tool!B268,NA())</f>
        <v>0.10565886966477474</v>
      </c>
      <c r="C264" s="62">
        <f>IF(Tool!$E268="Copy",Tool!C268,NA())</f>
        <v>54.118095689191186</v>
      </c>
      <c r="D264" s="67">
        <f>IF(Tool!$E268="Copy",Tool!D268,NA())</f>
        <v>1.2679064359772969</v>
      </c>
    </row>
    <row r="265" spans="1:4" x14ac:dyDescent="0.25">
      <c r="A265" s="66">
        <f>IF(Tool!$E269="Copy",Tool!A269,NA())</f>
        <v>0.91319444444444176</v>
      </c>
      <c r="B265" s="62">
        <f>IF(Tool!$E269="Copy",Tool!B269,NA())</f>
        <v>0.10377210413505313</v>
      </c>
      <c r="C265" s="62">
        <f>IF(Tool!$E269="Copy",Tool!C269,NA())</f>
        <v>54.22186779332624</v>
      </c>
      <c r="D265" s="67">
        <f>IF(Tool!$E269="Copy",Tool!D269,NA())</f>
        <v>1.2452652496206376</v>
      </c>
    </row>
    <row r="266" spans="1:4" x14ac:dyDescent="0.25">
      <c r="A266" s="66">
        <f>IF(Tool!$E270="Copy",Tool!A270,NA())</f>
        <v>0.91666666666666397</v>
      </c>
      <c r="B266" s="62">
        <f>IF(Tool!$E270="Copy",Tool!B270,NA())</f>
        <v>0.10282872137017661</v>
      </c>
      <c r="C266" s="62">
        <f>IF(Tool!$E270="Copy",Tool!C270,NA())</f>
        <v>54.324696514696413</v>
      </c>
      <c r="D266" s="67">
        <f>IF(Tool!$E270="Copy",Tool!D270,NA())</f>
        <v>1.2339446564421193</v>
      </c>
    </row>
    <row r="267" spans="1:4" x14ac:dyDescent="0.25">
      <c r="A267" s="66">
        <f>IF(Tool!$E271="Copy",Tool!A271,NA())</f>
        <v>0.92013888888888618</v>
      </c>
      <c r="B267" s="62">
        <f>IF(Tool!$E271="Copy",Tool!B271,NA())</f>
        <v>9.9055190310727112E-2</v>
      </c>
      <c r="C267" s="62">
        <f>IF(Tool!$E271="Copy",Tool!C271,NA())</f>
        <v>54.423751705007142</v>
      </c>
      <c r="D267" s="67">
        <f>IF(Tool!$E271="Copy",Tool!D271,NA())</f>
        <v>1.1886622837287253</v>
      </c>
    </row>
    <row r="268" spans="1:4" x14ac:dyDescent="0.25">
      <c r="A268" s="66">
        <f>IF(Tool!$E272="Copy",Tool!A272,NA())</f>
        <v>0.92361111111110838</v>
      </c>
      <c r="B268" s="62">
        <f>IF(Tool!$E272="Copy",Tool!B272,NA())</f>
        <v>0.10377210413504685</v>
      </c>
      <c r="C268" s="62">
        <f>IF(Tool!$E272="Copy",Tool!C272,NA())</f>
        <v>54.527523809142188</v>
      </c>
      <c r="D268" s="67">
        <f>IF(Tool!$E272="Copy",Tool!D272,NA())</f>
        <v>1.2452652496205623</v>
      </c>
    </row>
    <row r="269" spans="1:4" x14ac:dyDescent="0.25">
      <c r="A269" s="66">
        <f>IF(Tool!$E273="Copy",Tool!A273,NA())</f>
        <v>0.92708333333333059</v>
      </c>
      <c r="B269" s="62">
        <f>IF(Tool!$E273="Copy",Tool!B273,NA())</f>
        <v>9.9998573075584768E-2</v>
      </c>
      <c r="C269" s="62">
        <f>IF(Tool!$E273="Copy",Tool!C273,NA())</f>
        <v>54.627522382217776</v>
      </c>
      <c r="D269" s="67">
        <f>IF(Tool!$E273="Copy",Tool!D273,NA())</f>
        <v>1.1999828769070171</v>
      </c>
    </row>
    <row r="270" spans="1:4" x14ac:dyDescent="0.25">
      <c r="A270" s="66">
        <f>IF(Tool!$E274="Copy",Tool!A274,NA())</f>
        <v>0.9305555555555528</v>
      </c>
      <c r="B270" s="62">
        <f>IF(Tool!$E274="Copy",Tool!B274,NA())</f>
        <v>0.10188533860531895</v>
      </c>
      <c r="C270" s="62">
        <f>IF(Tool!$E274="Copy",Tool!C274,NA())</f>
        <v>54.729407720823097</v>
      </c>
      <c r="D270" s="67">
        <f>IF(Tool!$E274="Copy",Tool!D274,NA())</f>
        <v>1.2226240632638274</v>
      </c>
    </row>
    <row r="271" spans="1:4" x14ac:dyDescent="0.25">
      <c r="A271" s="66">
        <f>IF(Tool!$E275="Copy",Tool!A275,NA())</f>
        <v>0.93402777777777501</v>
      </c>
      <c r="B271" s="62">
        <f>IF(Tool!$E275="Copy",Tool!B275,NA())</f>
        <v>0.10188533860531895</v>
      </c>
      <c r="C271" s="62">
        <f>IF(Tool!$E275="Copy",Tool!C275,NA())</f>
        <v>54.831293059428418</v>
      </c>
      <c r="D271" s="67">
        <f>IF(Tool!$E275="Copy",Tool!D275,NA())</f>
        <v>1.2226240632638274</v>
      </c>
    </row>
    <row r="272" spans="1:4" x14ac:dyDescent="0.25">
      <c r="A272" s="66">
        <f>IF(Tool!$E276="Copy",Tool!A276,NA())</f>
        <v>0.93749999999999722</v>
      </c>
      <c r="B272" s="62">
        <f>IF(Tool!$E276="Copy",Tool!B276,NA())</f>
        <v>9.9055190310720825E-2</v>
      </c>
      <c r="C272" s="62">
        <f>IF(Tool!$E276="Copy",Tool!C276,NA())</f>
        <v>54.93034824973914</v>
      </c>
      <c r="D272" s="67">
        <f>IF(Tool!$E276="Copy",Tool!D276,NA())</f>
        <v>1.1886622837286498</v>
      </c>
    </row>
    <row r="273" spans="1:4" x14ac:dyDescent="0.25">
      <c r="A273" s="66">
        <f>IF(Tool!$E277="Copy",Tool!A277,NA())</f>
        <v>0.94097222222221943</v>
      </c>
      <c r="B273" s="62">
        <f>IF(Tool!$E277="Copy",Tool!B277,NA())</f>
        <v>9.9055190310727112E-2</v>
      </c>
      <c r="C273" s="62">
        <f>IF(Tool!$E277="Copy",Tool!C277,NA())</f>
        <v>55.029403440049869</v>
      </c>
      <c r="D273" s="67">
        <f>IF(Tool!$E277="Copy",Tool!D277,NA())</f>
        <v>1.1886622837287253</v>
      </c>
    </row>
    <row r="274" spans="1:4" x14ac:dyDescent="0.25">
      <c r="A274" s="66">
        <f>IF(Tool!$E278="Copy",Tool!A278,NA())</f>
        <v>0.94444444444444164</v>
      </c>
      <c r="B274" s="62">
        <f>IF(Tool!$E278="Copy",Tool!B278,NA())</f>
        <v>9.9055190310733385E-2</v>
      </c>
      <c r="C274" s="62">
        <f>IF(Tool!$E278="Copy",Tool!C278,NA())</f>
        <v>55.128458630360605</v>
      </c>
      <c r="D274" s="67">
        <f>IF(Tool!$E278="Copy",Tool!D278,NA())</f>
        <v>1.1886622837288006</v>
      </c>
    </row>
    <row r="275" spans="1:4" x14ac:dyDescent="0.25">
      <c r="A275" s="66">
        <f>IF(Tool!$E279="Copy",Tool!A279,NA())</f>
        <v>0.94791666666666385</v>
      </c>
      <c r="B275" s="62">
        <f>IF(Tool!$E279="Copy",Tool!B279,NA())</f>
        <v>9.9055190310720825E-2</v>
      </c>
      <c r="C275" s="62">
        <f>IF(Tool!$E279="Copy",Tool!C279,NA())</f>
        <v>55.227513820671327</v>
      </c>
      <c r="D275" s="67">
        <f>IF(Tool!$E279="Copy",Tool!D279,NA())</f>
        <v>1.1886622837286498</v>
      </c>
    </row>
    <row r="276" spans="1:4" x14ac:dyDescent="0.25">
      <c r="A276" s="66">
        <f>IF(Tool!$E280="Copy",Tool!A280,NA())</f>
        <v>0.95138888888888606</v>
      </c>
      <c r="B276" s="62">
        <f>IF(Tool!$E280="Copy",Tool!B280,NA())</f>
        <v>9.6225042016135257E-2</v>
      </c>
      <c r="C276" s="62">
        <f>IF(Tool!$E280="Copy",Tool!C280,NA())</f>
        <v>55.323738862687463</v>
      </c>
      <c r="D276" s="67">
        <f>IF(Tool!$E280="Copy",Tool!D280,NA())</f>
        <v>1.1547005041936231</v>
      </c>
    </row>
    <row r="277" spans="1:4" x14ac:dyDescent="0.25">
      <c r="A277" s="66">
        <f>IF(Tool!$E281="Copy",Tool!A281,NA())</f>
        <v>0.95486111111110827</v>
      </c>
      <c r="B277" s="62">
        <f>IF(Tool!$E281="Copy",Tool!B281,NA())</f>
        <v>9.4338276486407371E-2</v>
      </c>
      <c r="C277" s="62">
        <f>IF(Tool!$E281="Copy",Tool!C281,NA())</f>
        <v>55.418077139173867</v>
      </c>
      <c r="D277" s="67">
        <f>IF(Tool!$E281="Copy",Tool!D281,NA())</f>
        <v>1.1320593178368885</v>
      </c>
    </row>
    <row r="278" spans="1:4" x14ac:dyDescent="0.25">
      <c r="A278" s="66">
        <f>IF(Tool!$E282="Copy",Tool!A282,NA())</f>
        <v>0.95833333333333048</v>
      </c>
      <c r="B278" s="62">
        <f>IF(Tool!$E282="Copy",Tool!B282,NA())</f>
        <v>9.5281659251265027E-2</v>
      </c>
      <c r="C278" s="62">
        <f>IF(Tool!$E282="Copy",Tool!C282,NA())</f>
        <v>55.513358798425131</v>
      </c>
      <c r="D278" s="67">
        <f>IF(Tool!$E282="Copy",Tool!D282,NA())</f>
        <v>1.1433799110151803</v>
      </c>
    </row>
    <row r="279" spans="1:4" x14ac:dyDescent="0.25">
      <c r="A279" s="66">
        <f>IF(Tool!$E283="Copy",Tool!A283,NA())</f>
        <v>0.96180555555555269</v>
      </c>
      <c r="B279" s="62">
        <f>IF(Tool!$E283="Copy",Tool!B283,NA())</f>
        <v>9.9055190310727112E-2</v>
      </c>
      <c r="C279" s="62">
        <f>IF(Tool!$E283="Copy",Tool!C283,NA())</f>
        <v>55.61241398873586</v>
      </c>
      <c r="D279" s="67">
        <f>IF(Tool!$E283="Copy",Tool!D283,NA())</f>
        <v>1.1886622837287253</v>
      </c>
    </row>
    <row r="280" spans="1:4" x14ac:dyDescent="0.25">
      <c r="A280" s="66">
        <f>IF(Tool!$E284="Copy",Tool!A284,NA())</f>
        <v>0.9652777777777749</v>
      </c>
      <c r="B280" s="62">
        <f>IF(Tool!$E284="Copy",Tool!B284,NA())</f>
        <v>9.4338276486407371E-2</v>
      </c>
      <c r="C280" s="62">
        <f>IF(Tool!$E284="Copy",Tool!C284,NA())</f>
        <v>55.706752265222264</v>
      </c>
      <c r="D280" s="67">
        <f>IF(Tool!$E284="Copy",Tool!D284,NA())</f>
        <v>1.1320593178368885</v>
      </c>
    </row>
    <row r="281" spans="1:4" x14ac:dyDescent="0.25">
      <c r="A281" s="66">
        <f>IF(Tool!$E285="Copy",Tool!A285,NA())</f>
        <v>0.96874999999999711</v>
      </c>
      <c r="B281" s="62">
        <f>IF(Tool!$E285="Copy",Tool!B285,NA())</f>
        <v>9.4338276486401085E-2</v>
      </c>
      <c r="C281" s="62">
        <f>IF(Tool!$E285="Copy",Tool!C285,NA())</f>
        <v>55.801090541708668</v>
      </c>
      <c r="D281" s="67">
        <f>IF(Tool!$E285="Copy",Tool!D285,NA())</f>
        <v>1.132059317836813</v>
      </c>
    </row>
    <row r="282" spans="1:4" x14ac:dyDescent="0.25">
      <c r="A282" s="66">
        <f>IF(Tool!$E286="Copy",Tool!A286,NA())</f>
        <v>0.97222222222221932</v>
      </c>
      <c r="B282" s="62">
        <f>IF(Tool!$E286="Copy",Tool!B286,NA())</f>
        <v>9.1508128191809243E-2</v>
      </c>
      <c r="C282" s="62">
        <f>IF(Tool!$E286="Copy",Tool!C286,NA())</f>
        <v>55.89259866990048</v>
      </c>
      <c r="D282" s="67">
        <f>IF(Tool!$E286="Copy",Tool!D286,NA())</f>
        <v>1.0980975383017109</v>
      </c>
    </row>
    <row r="283" spans="1:4" x14ac:dyDescent="0.25">
      <c r="A283" s="66">
        <f>IF(Tool!$E287="Copy",Tool!A287,NA())</f>
        <v>0.97569444444444153</v>
      </c>
      <c r="B283" s="62">
        <f>IF(Tool!$E287="Copy",Tool!B287,NA())</f>
        <v>9.1508128191815516E-2</v>
      </c>
      <c r="C283" s="62">
        <f>IF(Tool!$E287="Copy",Tool!C287,NA())</f>
        <v>55.984106798092292</v>
      </c>
      <c r="D283" s="67">
        <f>IF(Tool!$E287="Copy",Tool!D287,NA())</f>
        <v>1.0980975383017861</v>
      </c>
    </row>
    <row r="284" spans="1:4" x14ac:dyDescent="0.25">
      <c r="A284" s="66">
        <f>IF(Tool!$E288="Copy",Tool!A288,NA())</f>
        <v>0.97916666666666374</v>
      </c>
      <c r="B284" s="62">
        <f>IF(Tool!$E288="Copy",Tool!B288,NA())</f>
        <v>9.4338276486401085E-2</v>
      </c>
      <c r="C284" s="62">
        <f>IF(Tool!$E288="Copy",Tool!C288,NA())</f>
        <v>56.078445074578696</v>
      </c>
      <c r="D284" s="67">
        <f>IF(Tool!$E288="Copy",Tool!D288,NA())</f>
        <v>1.132059317836813</v>
      </c>
    </row>
    <row r="285" spans="1:4" x14ac:dyDescent="0.25">
      <c r="A285" s="66">
        <f>IF(Tool!$E289="Copy",Tool!A289,NA())</f>
        <v>0.98263888888888595</v>
      </c>
      <c r="B285" s="62">
        <f>IF(Tool!$E289="Copy",Tool!B289,NA())</f>
        <v>9.4338276486407371E-2</v>
      </c>
      <c r="C285" s="62">
        <f>IF(Tool!$E289="Copy",Tool!C289,NA())</f>
        <v>56.1727833510651</v>
      </c>
      <c r="D285" s="67">
        <f>IF(Tool!$E289="Copy",Tool!D289,NA())</f>
        <v>1.1320593178368885</v>
      </c>
    </row>
    <row r="286" spans="1:4" x14ac:dyDescent="0.25">
      <c r="A286" s="66">
        <f>IF(Tool!$E290="Copy",Tool!A290,NA())</f>
        <v>0.98611111111110816</v>
      </c>
      <c r="B286" s="62">
        <f>IF(Tool!$E290="Copy",Tool!B290,NA())</f>
        <v>8.9621362662087631E-2</v>
      </c>
      <c r="C286" s="62">
        <f>IF(Tool!$E290="Copy",Tool!C290,NA())</f>
        <v>56.262404713727186</v>
      </c>
      <c r="D286" s="67">
        <f>IF(Tool!$E290="Copy",Tool!D290,NA())</f>
        <v>1.0754563519450515</v>
      </c>
    </row>
    <row r="287" spans="1:4" x14ac:dyDescent="0.25">
      <c r="A287" s="66">
        <f>IF(Tool!$E291="Copy",Tool!A291,NA())</f>
        <v>0.98958333333333037</v>
      </c>
      <c r="B287" s="62">
        <f>IF(Tool!$E291="Copy",Tool!B291,NA())</f>
        <v>8.9621362662081344E-2</v>
      </c>
      <c r="C287" s="62">
        <f>IF(Tool!$E291="Copy",Tool!C291,NA())</f>
        <v>56.352026076389265</v>
      </c>
      <c r="D287" s="67">
        <f>IF(Tool!$E291="Copy",Tool!D291,NA())</f>
        <v>1.0754563519449762</v>
      </c>
    </row>
    <row r="288" spans="1:4" x14ac:dyDescent="0.25">
      <c r="A288" s="66">
        <f>IF(Tool!$E292="Copy",Tool!A292,NA())</f>
        <v>0.99305555555555258</v>
      </c>
      <c r="B288" s="62">
        <f>IF(Tool!$E292="Copy",Tool!B292,NA())</f>
        <v>8.9621362662087631E-2</v>
      </c>
      <c r="C288" s="62">
        <f>IF(Tool!$E292="Copy",Tool!C292,NA())</f>
        <v>56.441647439051351</v>
      </c>
      <c r="D288" s="67">
        <f>IF(Tool!$E292="Copy",Tool!D292,NA())</f>
        <v>1.0754563519450515</v>
      </c>
    </row>
    <row r="289" spans="1:4" x14ac:dyDescent="0.25">
      <c r="A289" s="66">
        <f>IF(Tool!$E293="Copy",Tool!A293,NA())</f>
        <v>0.99652777777777479</v>
      </c>
      <c r="B289" s="62">
        <f>IF(Tool!$E293="Copy",Tool!B293,NA())</f>
        <v>8.9621362662087631E-2</v>
      </c>
      <c r="C289" s="62">
        <f>IF(Tool!$E293="Copy",Tool!C293,NA())</f>
        <v>56.531268801713438</v>
      </c>
      <c r="D289" s="67">
        <f>IF(Tool!$E293="Copy",Tool!D293,NA())</f>
        <v>1.0754563519450515</v>
      </c>
    </row>
    <row r="290" spans="1:4" ht="15.75" thickBot="1" x14ac:dyDescent="0.3">
      <c r="A290" s="68">
        <f>IF(Tool!$E294="Copy",Tool!A294,NA())</f>
        <v>0.999999999999997</v>
      </c>
      <c r="B290" s="69">
        <f>IF(Tool!$E294="Copy",Tool!B294,NA())</f>
        <v>7.1697090129666324E-2</v>
      </c>
      <c r="C290" s="69">
        <f>IF(Tool!$E294="Copy",Tool!C294,NA())</f>
        <v>56.602965891843105</v>
      </c>
      <c r="D290" s="70">
        <f>IF(Tool!$E294="Copy",Tool!D294,NA())</f>
        <v>0.86036508155599589</v>
      </c>
    </row>
  </sheetData>
  <sheetProtection algorithmName="SHA-512" hashValue="O6YRqXw49ZUvn7bdivHJ0or6BOAUkpEB9QkmJt2VgXIVlSS4kxbc1UGkzN3gi1fXphW3847dDJAUNbhCAUeZKQ==" saltValue="zZW4rdXlZvhUhEnGqpsL/A==" spinCount="100000" sheet="1" objects="1" scenarios="1"/>
  <conditionalFormatting sqref="A1:D290">
    <cfRule type="containsErrors" dxfId="3" priority="1">
      <formula>ISERROR(A1)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4529E-E772-4F82-9999-429AF18BB475}">
  <sheetPr codeName="Sheet4"/>
  <dimension ref="A1:H43"/>
  <sheetViews>
    <sheetView workbookViewId="0">
      <selection activeCell="H20" sqref="H20"/>
    </sheetView>
  </sheetViews>
  <sheetFormatPr defaultRowHeight="15" x14ac:dyDescent="0.25"/>
  <cols>
    <col min="1" max="1" width="10.7109375" style="2" bestFit="1" customWidth="1"/>
    <col min="2" max="2" width="14.28515625" style="2" bestFit="1" customWidth="1"/>
    <col min="3" max="3" width="16.7109375" style="2" bestFit="1" customWidth="1"/>
    <col min="4" max="4" width="9.140625" style="2"/>
    <col min="5" max="5" width="22.42578125" style="2" bestFit="1" customWidth="1"/>
    <col min="6" max="6" width="38.85546875" style="2" bestFit="1" customWidth="1"/>
    <col min="7" max="7" width="17" bestFit="1" customWidth="1"/>
    <col min="8" max="8" width="15.140625" bestFit="1" customWidth="1"/>
    <col min="15" max="15" width="39" bestFit="1" customWidth="1"/>
  </cols>
  <sheetData>
    <row r="1" spans="1:8" x14ac:dyDescent="0.25">
      <c r="A1" s="1" t="s">
        <v>419</v>
      </c>
      <c r="B1" s="1" t="s">
        <v>176</v>
      </c>
      <c r="C1" s="1" t="s">
        <v>207</v>
      </c>
      <c r="D1" s="1" t="s">
        <v>20</v>
      </c>
      <c r="E1" s="1" t="s">
        <v>210</v>
      </c>
      <c r="F1" s="1" t="s">
        <v>372</v>
      </c>
      <c r="G1" s="1" t="s">
        <v>444</v>
      </c>
    </row>
    <row r="2" spans="1:8" x14ac:dyDescent="0.25">
      <c r="A2" s="2" t="s">
        <v>22</v>
      </c>
      <c r="B2" s="2" t="s">
        <v>17</v>
      </c>
      <c r="C2" s="2" t="s">
        <v>27</v>
      </c>
      <c r="D2" s="2" t="s">
        <v>8</v>
      </c>
      <c r="E2" s="2" t="s">
        <v>1</v>
      </c>
      <c r="F2" s="2" t="s">
        <v>403</v>
      </c>
      <c r="G2" s="2" t="s">
        <v>445</v>
      </c>
    </row>
    <row r="3" spans="1:8" x14ac:dyDescent="0.25">
      <c r="A3" s="2" t="s">
        <v>21</v>
      </c>
      <c r="B3" s="2" t="s">
        <v>18</v>
      </c>
      <c r="C3" s="2" t="s">
        <v>167</v>
      </c>
      <c r="D3" s="2" t="s">
        <v>9</v>
      </c>
      <c r="E3" s="2" t="s">
        <v>2</v>
      </c>
      <c r="F3" s="2" t="s">
        <v>404</v>
      </c>
      <c r="G3" s="2" t="s">
        <v>175</v>
      </c>
      <c r="H3" s="102" t="s">
        <v>416</v>
      </c>
    </row>
    <row r="4" spans="1:8" x14ac:dyDescent="0.25">
      <c r="A4" s="2" t="s">
        <v>23</v>
      </c>
      <c r="B4" s="2" t="s">
        <v>19</v>
      </c>
      <c r="C4" s="2" t="s">
        <v>168</v>
      </c>
      <c r="D4" s="2" t="s">
        <v>10</v>
      </c>
      <c r="E4" s="2" t="s">
        <v>3</v>
      </c>
      <c r="F4" s="2" t="s">
        <v>377</v>
      </c>
      <c r="H4" s="2" t="s">
        <v>417</v>
      </c>
    </row>
    <row r="5" spans="1:8" x14ac:dyDescent="0.25">
      <c r="C5" s="2" t="s">
        <v>169</v>
      </c>
      <c r="D5" s="2" t="s">
        <v>11</v>
      </c>
      <c r="E5" s="2" t="s">
        <v>4</v>
      </c>
      <c r="F5" s="2" t="s">
        <v>378</v>
      </c>
    </row>
    <row r="6" spans="1:8" x14ac:dyDescent="0.25">
      <c r="B6" s="1" t="s">
        <v>177</v>
      </c>
      <c r="C6" s="2" t="s">
        <v>170</v>
      </c>
      <c r="D6" s="2" t="s">
        <v>12</v>
      </c>
      <c r="E6" s="2" t="s">
        <v>5</v>
      </c>
    </row>
    <row r="7" spans="1:8" x14ac:dyDescent="0.25">
      <c r="B7" s="2" t="s">
        <v>25</v>
      </c>
      <c r="D7" s="2" t="s">
        <v>13</v>
      </c>
      <c r="E7" s="2" t="s">
        <v>6</v>
      </c>
      <c r="F7" s="1" t="s">
        <v>373</v>
      </c>
    </row>
    <row r="8" spans="1:8" x14ac:dyDescent="0.25">
      <c r="C8" s="1" t="s">
        <v>208</v>
      </c>
      <c r="D8" s="2" t="s">
        <v>14</v>
      </c>
      <c r="E8" s="2" t="s">
        <v>7</v>
      </c>
      <c r="F8" s="2" t="s">
        <v>379</v>
      </c>
    </row>
    <row r="9" spans="1:8" x14ac:dyDescent="0.25">
      <c r="B9" s="1" t="s">
        <v>178</v>
      </c>
      <c r="C9" s="2" t="s">
        <v>27</v>
      </c>
      <c r="D9" s="2" t="s">
        <v>15</v>
      </c>
      <c r="E9" s="2" t="s">
        <v>28</v>
      </c>
      <c r="F9" s="2" t="s">
        <v>380</v>
      </c>
    </row>
    <row r="10" spans="1:8" x14ac:dyDescent="0.25">
      <c r="B10" s="2" t="s">
        <v>179</v>
      </c>
      <c r="C10" s="2">
        <v>2050</v>
      </c>
      <c r="D10" s="2" t="s">
        <v>16</v>
      </c>
      <c r="F10" s="2" t="s">
        <v>381</v>
      </c>
    </row>
    <row r="11" spans="1:8" x14ac:dyDescent="0.25">
      <c r="B11" s="2" t="s">
        <v>348</v>
      </c>
      <c r="C11" s="2">
        <v>2100</v>
      </c>
      <c r="E11" s="1" t="s">
        <v>211</v>
      </c>
      <c r="F11" s="2" t="s">
        <v>382</v>
      </c>
    </row>
    <row r="12" spans="1:8" x14ac:dyDescent="0.25">
      <c r="B12" s="2" t="s">
        <v>19</v>
      </c>
      <c r="E12" s="2" t="s">
        <v>1</v>
      </c>
    </row>
    <row r="13" spans="1:8" x14ac:dyDescent="0.25">
      <c r="C13" s="1" t="s">
        <v>209</v>
      </c>
      <c r="E13" s="2" t="s">
        <v>2</v>
      </c>
      <c r="F13" s="1" t="s">
        <v>374</v>
      </c>
    </row>
    <row r="14" spans="1:8" x14ac:dyDescent="0.25">
      <c r="C14" s="2" t="s">
        <v>27</v>
      </c>
      <c r="E14" s="2" t="s">
        <v>3</v>
      </c>
      <c r="F14" s="2" t="s">
        <v>383</v>
      </c>
    </row>
    <row r="15" spans="1:8" x14ac:dyDescent="0.25">
      <c r="C15" s="2" t="s">
        <v>167</v>
      </c>
      <c r="E15" s="2" t="s">
        <v>4</v>
      </c>
      <c r="F15" s="2" t="s">
        <v>384</v>
      </c>
    </row>
    <row r="16" spans="1:8" x14ac:dyDescent="0.25">
      <c r="C16" s="2" t="s">
        <v>168</v>
      </c>
      <c r="E16" s="2" t="s">
        <v>5</v>
      </c>
      <c r="F16" s="2" t="s">
        <v>385</v>
      </c>
    </row>
    <row r="17" spans="3:6" x14ac:dyDescent="0.25">
      <c r="C17" s="2" t="s">
        <v>169</v>
      </c>
      <c r="E17" s="2" t="s">
        <v>6</v>
      </c>
      <c r="F17" s="2" t="s">
        <v>386</v>
      </c>
    </row>
    <row r="18" spans="3:6" x14ac:dyDescent="0.25">
      <c r="C18" s="2" t="s">
        <v>170</v>
      </c>
      <c r="F18" s="2" t="s">
        <v>413</v>
      </c>
    </row>
    <row r="19" spans="3:6" x14ac:dyDescent="0.25">
      <c r="E19" s="1" t="s">
        <v>212</v>
      </c>
      <c r="F19" s="2" t="s">
        <v>414</v>
      </c>
    </row>
    <row r="20" spans="3:6" x14ac:dyDescent="0.25">
      <c r="E20" s="2" t="s">
        <v>1</v>
      </c>
    </row>
    <row r="21" spans="3:6" x14ac:dyDescent="0.25">
      <c r="E21" s="2" t="s">
        <v>2</v>
      </c>
      <c r="F21" s="1" t="s">
        <v>375</v>
      </c>
    </row>
    <row r="22" spans="3:6" x14ac:dyDescent="0.25">
      <c r="E22" s="2" t="s">
        <v>3</v>
      </c>
      <c r="F22" s="2" t="s">
        <v>387</v>
      </c>
    </row>
    <row r="23" spans="3:6" x14ac:dyDescent="0.25">
      <c r="E23" s="2" t="s">
        <v>4</v>
      </c>
      <c r="F23" s="2" t="s">
        <v>388</v>
      </c>
    </row>
    <row r="24" spans="3:6" x14ac:dyDescent="0.25">
      <c r="E24" s="2" t="s">
        <v>5</v>
      </c>
      <c r="F24" s="2" t="s">
        <v>389</v>
      </c>
    </row>
    <row r="25" spans="3:6" x14ac:dyDescent="0.25">
      <c r="E25" s="2" t="s">
        <v>6</v>
      </c>
      <c r="F25" s="2" t="s">
        <v>390</v>
      </c>
    </row>
    <row r="26" spans="3:6" ht="15.75" thickBot="1" x14ac:dyDescent="0.3">
      <c r="E26" s="2" t="s">
        <v>7</v>
      </c>
      <c r="F26" s="2" t="s">
        <v>391</v>
      </c>
    </row>
    <row r="27" spans="3:6" ht="15.75" thickBot="1" x14ac:dyDescent="0.3">
      <c r="F27" s="90" t="s">
        <v>410</v>
      </c>
    </row>
    <row r="29" spans="3:6" x14ac:dyDescent="0.25">
      <c r="F29" s="1" t="s">
        <v>376</v>
      </c>
    </row>
    <row r="30" spans="3:6" x14ac:dyDescent="0.25">
      <c r="F30" s="2" t="s">
        <v>392</v>
      </c>
    </row>
    <row r="31" spans="3:6" x14ac:dyDescent="0.25">
      <c r="F31" s="2" t="s">
        <v>393</v>
      </c>
    </row>
    <row r="32" spans="3:6" x14ac:dyDescent="0.25">
      <c r="F32" s="2" t="s">
        <v>394</v>
      </c>
    </row>
    <row r="33" spans="6:6" x14ac:dyDescent="0.25">
      <c r="F33" s="2" t="s">
        <v>395</v>
      </c>
    </row>
    <row r="34" spans="6:6" x14ac:dyDescent="0.25">
      <c r="F34" s="2" t="s">
        <v>396</v>
      </c>
    </row>
    <row r="35" spans="6:6" x14ac:dyDescent="0.25">
      <c r="F35" s="2" t="s">
        <v>397</v>
      </c>
    </row>
    <row r="36" spans="6:6" x14ac:dyDescent="0.25">
      <c r="F36" s="2" t="s">
        <v>398</v>
      </c>
    </row>
    <row r="43" spans="6:6" x14ac:dyDescent="0.25">
      <c r="F43" s="2" t="s">
        <v>405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15065-90CF-4307-8E82-ABA9560D335F}">
  <sheetPr codeName="Sheet5"/>
  <dimension ref="A1:N295"/>
  <sheetViews>
    <sheetView tabSelected="1" zoomScale="70" zoomScaleNormal="70" workbookViewId="0">
      <selection activeCell="B6" sqref="B6:D11"/>
    </sheetView>
  </sheetViews>
  <sheetFormatPr defaultRowHeight="15" x14ac:dyDescent="0.25"/>
  <cols>
    <col min="1" max="1" width="21.5703125" bestFit="1" customWidth="1"/>
    <col min="2" max="8" width="39.140625" bestFit="1" customWidth="1"/>
    <col min="9" max="9" width="33" bestFit="1" customWidth="1"/>
    <col min="12" max="12" width="9.140625" style="2"/>
    <col min="13" max="13" width="21.5703125" bestFit="1" customWidth="1"/>
    <col min="14" max="14" width="16.7109375" bestFit="1" customWidth="1"/>
  </cols>
  <sheetData>
    <row r="1" spans="1:14" x14ac:dyDescent="0.25">
      <c r="A1" s="84" t="s">
        <v>419</v>
      </c>
      <c r="B1" s="85" t="s">
        <v>24</v>
      </c>
      <c r="C1" s="85" t="s">
        <v>26</v>
      </c>
      <c r="D1" s="85" t="s">
        <v>20</v>
      </c>
      <c r="E1" s="85" t="s">
        <v>444</v>
      </c>
      <c r="F1" s="86" t="s">
        <v>29</v>
      </c>
      <c r="G1" s="137" t="s">
        <v>452</v>
      </c>
      <c r="H1" s="112"/>
      <c r="I1" s="113"/>
      <c r="J1" s="112"/>
      <c r="K1" s="112"/>
      <c r="L1"/>
    </row>
    <row r="2" spans="1:14" ht="15.75" thickBot="1" x14ac:dyDescent="0.3">
      <c r="A2" s="99" t="s">
        <v>21</v>
      </c>
      <c r="B2" s="100" t="s">
        <v>19</v>
      </c>
      <c r="C2" s="100" t="s">
        <v>27</v>
      </c>
      <c r="D2" s="100" t="s">
        <v>12</v>
      </c>
      <c r="E2" s="100" t="s">
        <v>175</v>
      </c>
      <c r="F2" s="101" t="s">
        <v>392</v>
      </c>
      <c r="G2" s="136" t="s">
        <v>453</v>
      </c>
      <c r="H2" s="60" t="s">
        <v>172</v>
      </c>
      <c r="I2" s="61" t="str">
        <f>A2&amp;", "&amp;B2&amp;", "&amp;C2&amp;", "&amp;D2</f>
        <v>COV (2018), Zone 5, Current, 1-hr</v>
      </c>
      <c r="J2" s="119"/>
      <c r="K2" s="119"/>
      <c r="L2"/>
    </row>
    <row r="3" spans="1:14" x14ac:dyDescent="0.25">
      <c r="B3" s="96" t="str">
        <f>IF(A2="MV (2018)","***No Index Rain Value Used for Zonal IDFs - Data Likely Invalid for COV***","")</f>
        <v/>
      </c>
      <c r="E3" s="97" t="str">
        <f>IF(E2="500-year","*Use 500-Year Estimates With Caution - Extrapolated Beyond Observed Data*","")</f>
        <v/>
      </c>
      <c r="F3" s="104" t="str">
        <f>IF(LEFT(F2,1)="*","Recommended Distribution","")</f>
        <v>Recommended Distribution</v>
      </c>
      <c r="G3" s="112"/>
      <c r="H3" s="114"/>
      <c r="I3" s="113"/>
      <c r="J3" s="112"/>
      <c r="L3"/>
    </row>
    <row r="4" spans="1:14" x14ac:dyDescent="0.25">
      <c r="A4" s="120" t="str">
        <f>IF(E2="Intensity (mm/hr)","Avg. Intensity (mm/hr)","Total Depth (mm)")</f>
        <v>Avg. Intensity (mm/hr)</v>
      </c>
      <c r="B4" s="121">
        <f>SUM(B7:B295)*IF($E$2="Depth (mm)",1,IF($E$2="Intensity (mm/hr)",(1/12/$M$13)))</f>
        <v>12.386300652858404</v>
      </c>
      <c r="C4" s="121">
        <f t="shared" ref="C4:H4" si="0">SUM(C7:C295)*IF($E$2="Depth (mm)",1,IF($E$2="Intensity (mm/hr)",(1/12/$M$13)))</f>
        <v>16.516692411523614</v>
      </c>
      <c r="D4" s="121">
        <f t="shared" si="0"/>
        <v>19.44935201013385</v>
      </c>
      <c r="E4" s="121">
        <f t="shared" si="0"/>
        <v>23.486745774896935</v>
      </c>
      <c r="F4" s="121">
        <f t="shared" si="0"/>
        <v>26.673365837538235</v>
      </c>
      <c r="G4" s="121">
        <f t="shared" si="0"/>
        <v>30.042747744108539</v>
      </c>
      <c r="H4" s="121">
        <f t="shared" si="0"/>
        <v>33.646084662836927</v>
      </c>
      <c r="I4" s="107"/>
      <c r="L4"/>
      <c r="M4" s="115" t="s">
        <v>442</v>
      </c>
      <c r="N4" s="115" t="s">
        <v>443</v>
      </c>
    </row>
    <row r="5" spans="1:14" x14ac:dyDescent="0.25">
      <c r="A5" s="122" t="s">
        <v>171</v>
      </c>
      <c r="B5" s="123" t="str">
        <f t="shared" ref="B5:H5" si="1">$F$2&amp;" Absolute"</f>
        <v>*SCS Type 1A 24-hr (Unrounded) Absolute</v>
      </c>
      <c r="C5" s="123" t="str">
        <f t="shared" si="1"/>
        <v>*SCS Type 1A 24-hr (Unrounded) Absolute</v>
      </c>
      <c r="D5" s="123" t="str">
        <f t="shared" si="1"/>
        <v>*SCS Type 1A 24-hr (Unrounded) Absolute</v>
      </c>
      <c r="E5" s="123" t="str">
        <f t="shared" si="1"/>
        <v>*SCS Type 1A 24-hr (Unrounded) Absolute</v>
      </c>
      <c r="F5" s="123" t="str">
        <f t="shared" si="1"/>
        <v>*SCS Type 1A 24-hr (Unrounded) Absolute</v>
      </c>
      <c r="G5" s="123" t="str">
        <f t="shared" si="1"/>
        <v>*SCS Type 1A 24-hr (Unrounded) Absolute</v>
      </c>
      <c r="H5" s="123" t="str">
        <f t="shared" si="1"/>
        <v>*SCS Type 1A 24-hr (Unrounded) Absolute</v>
      </c>
      <c r="I5" s="124" t="s">
        <v>399</v>
      </c>
      <c r="L5" s="118" t="s">
        <v>1</v>
      </c>
      <c r="M5" s="62">
        <f>INDEX('IDF Tables'!$A$2:$J$298,MATCH('Bulk Tool'!$I$2,'IDF Tables'!$A$2:$A$298,0),MATCH('Bulk Tool'!$L5,'IDF Tables'!$A$1:$J$1,0))</f>
        <v>12.386300652858413</v>
      </c>
      <c r="N5" s="116">
        <f>M5*$M$13</f>
        <v>12.386300652858413</v>
      </c>
    </row>
    <row r="6" spans="1:14" x14ac:dyDescent="0.25">
      <c r="A6" s="125"/>
      <c r="B6" s="126" t="s">
        <v>1</v>
      </c>
      <c r="C6" s="126" t="s">
        <v>2</v>
      </c>
      <c r="D6" s="126" t="s">
        <v>3</v>
      </c>
      <c r="E6" s="126" t="s">
        <v>4</v>
      </c>
      <c r="F6" s="126" t="s">
        <v>5</v>
      </c>
      <c r="G6" s="126" t="s">
        <v>6</v>
      </c>
      <c r="H6" s="126" t="s">
        <v>7</v>
      </c>
      <c r="I6" s="127"/>
      <c r="L6" s="118" t="s">
        <v>2</v>
      </c>
      <c r="M6" s="62">
        <f>INDEX('IDF Tables'!$A$2:$J$298,MATCH('Bulk Tool'!$I$2,'IDF Tables'!$A$2:$A$298,0),MATCH('Bulk Tool'!$L6,'IDF Tables'!$A$1:$J$1,0))</f>
        <v>16.516692411523618</v>
      </c>
      <c r="N6" s="116">
        <f t="shared" ref="N6:N11" si="2">M6*$M$13</f>
        <v>16.516692411523618</v>
      </c>
    </row>
    <row r="7" spans="1:14" x14ac:dyDescent="0.25">
      <c r="A7" s="128">
        <v>0</v>
      </c>
      <c r="B7" s="24">
        <f>INDEX('IDF Distributions'!$A$1:$AB$290,MATCH('Bulk Tool'!$A7,'IDF Distributions'!$A$1:$A$290,0),MATCH('Bulk Tool'!B$5,'IDF Distributions'!$A$1:$AB$1,0))*INDEX($N$5:$N$11,MATCH(B$6,$L$5:$L$11,0))*IF($E$2="Depth (mm)",(1),IF($E$2="Intensity (mm/hr)",12,0))</f>
        <v>0</v>
      </c>
      <c r="C7" s="24">
        <f>INDEX('IDF Distributions'!$A$1:$AB$290,MATCH('Bulk Tool'!$A7,'IDF Distributions'!$A$1:$A$290,0),MATCH('Bulk Tool'!C$5,'IDF Distributions'!$A$1:$AB$1,0))*INDEX($N$5:$N$11,MATCH(C$6,$L$5:$L$11,0))*IF($E$2="Depth (mm)",(1),IF($E$2="Intensity (mm/hr)",12,0))</f>
        <v>0</v>
      </c>
      <c r="D7" s="24">
        <f>INDEX('IDF Distributions'!$A$1:$AB$290,MATCH('Bulk Tool'!$A7,'IDF Distributions'!$A$1:$A$290,0),MATCH('Bulk Tool'!D$5,'IDF Distributions'!$A$1:$AB$1,0))*INDEX($N$5:$N$11,MATCH(D$6,$L$5:$L$11,0))*IF($E$2="Depth (mm)",(1),IF($E$2="Intensity (mm/hr)",12,0))</f>
        <v>0</v>
      </c>
      <c r="E7" s="24">
        <f>INDEX('IDF Distributions'!$A$1:$AB$290,MATCH('Bulk Tool'!$A7,'IDF Distributions'!$A$1:$A$290,0),MATCH('Bulk Tool'!E$5,'IDF Distributions'!$A$1:$AB$1,0))*INDEX($N$5:$N$11,MATCH(E$6,$L$5:$L$11,0))*IF($E$2="Depth (mm)",(1),IF($E$2="Intensity (mm/hr)",12,0))</f>
        <v>0</v>
      </c>
      <c r="F7" s="24">
        <f>INDEX('IDF Distributions'!$A$1:$AB$290,MATCH('Bulk Tool'!$A7,'IDF Distributions'!$A$1:$A$290,0),MATCH('Bulk Tool'!F$5,'IDF Distributions'!$A$1:$AB$1,0))*INDEX($N$5:$N$11,MATCH(F$6,$L$5:$L$11,0))*IF($E$2="Depth (mm)",(1),IF($E$2="Intensity (mm/hr)",12,0))</f>
        <v>0</v>
      </c>
      <c r="G7" s="24">
        <f>INDEX('IDF Distributions'!$A$1:$AB$290,MATCH('Bulk Tool'!$A7,'IDF Distributions'!$A$1:$A$290,0),MATCH('Bulk Tool'!G$5,'IDF Distributions'!$A$1:$AB$1,0))*INDEX($N$5:$N$11,MATCH(G$6,$L$5:$L$11,0))*IF($E$2="Depth (mm)",(1),IF($E$2="Intensity (mm/hr)",12,0))</f>
        <v>0</v>
      </c>
      <c r="H7" s="24">
        <f>INDEX('IDF Distributions'!$A$1:$AB$290,MATCH('Bulk Tool'!$A7,'IDF Distributions'!$A$1:$A$290,0),MATCH('Bulk Tool'!H$5,'IDF Distributions'!$A$1:$AB$1,0))*INDEX($N$5:$N$11,MATCH(H$6,$L$5:$L$11,0))*IF($E$2="Depth (mm)",(1),IF($E$2="Intensity (mm/hr)",12,0))</f>
        <v>0</v>
      </c>
      <c r="I7" s="12" t="str">
        <f>IF(COUNTIF($H$7:H7,$H$7)&gt;1,"Do Not Copy","Copy")</f>
        <v>Copy</v>
      </c>
      <c r="L7" s="118" t="s">
        <v>3</v>
      </c>
      <c r="M7" s="62">
        <f>INDEX('IDF Tables'!$A$2:$J$298,MATCH('Bulk Tool'!$I$2,'IDF Tables'!$A$2:$A$298,0),MATCH('Bulk Tool'!$L7,'IDF Tables'!$A$1:$J$1,0))</f>
        <v>19.449352010133858</v>
      </c>
      <c r="N7" s="116">
        <f t="shared" si="2"/>
        <v>19.449352010133858</v>
      </c>
    </row>
    <row r="8" spans="1:14" x14ac:dyDescent="0.25">
      <c r="A8" s="128">
        <f>A7+TIME(0,5,0)</f>
        <v>3.472222222222222E-3</v>
      </c>
      <c r="B8" s="24">
        <f>INDEX('IDF Distributions'!$A$1:$AB$290,MATCH('Bulk Tool'!$A8,'IDF Distributions'!$A$1:$A$290,0),MATCH('Bulk Tool'!B$5,'IDF Distributions'!$A$1:$AB$1,0))*INDEX($N$5:$N$11,MATCH(B$6,$L$5:$L$11,0))*IF($E$2="Depth (mm)",(1),IF($E$2="Intensity (mm/hr)",12,0))</f>
        <v>0.32699833723546212</v>
      </c>
      <c r="C8" s="24">
        <f>INDEX('IDF Distributions'!$A$1:$AB$290,MATCH('Bulk Tool'!$A8,'IDF Distributions'!$A$1:$A$290,0),MATCH('Bulk Tool'!C$5,'IDF Distributions'!$A$1:$AB$1,0))*INDEX($N$5:$N$11,MATCH(C$6,$L$5:$L$11,0))*IF($E$2="Depth (mm)",(1),IF($E$2="Intensity (mm/hr)",12,0))</f>
        <v>0.43604067966422355</v>
      </c>
      <c r="D8" s="24">
        <f>INDEX('IDF Distributions'!$A$1:$AB$290,MATCH('Bulk Tool'!$A8,'IDF Distributions'!$A$1:$A$290,0),MATCH('Bulk Tool'!D$5,'IDF Distributions'!$A$1:$AB$1,0))*INDEX($N$5:$N$11,MATCH(D$6,$L$5:$L$11,0))*IF($E$2="Depth (mm)",(1),IF($E$2="Intensity (mm/hr)",12,0))</f>
        <v>0.51346289306753379</v>
      </c>
      <c r="E8" s="24">
        <f>INDEX('IDF Distributions'!$A$1:$AB$290,MATCH('Bulk Tool'!$A8,'IDF Distributions'!$A$1:$A$290,0),MATCH('Bulk Tool'!E$5,'IDF Distributions'!$A$1:$AB$1,0))*INDEX($N$5:$N$11,MATCH(E$6,$L$5:$L$11,0))*IF($E$2="Depth (mm)",(1),IF($E$2="Intensity (mm/hr)",12,0))</f>
        <v>0.62005008845727949</v>
      </c>
      <c r="F8" s="24">
        <f>INDEX('IDF Distributions'!$A$1:$AB$290,MATCH('Bulk Tool'!$A8,'IDF Distributions'!$A$1:$A$290,0),MATCH('Bulk Tool'!F$5,'IDF Distributions'!$A$1:$AB$1,0))*INDEX($N$5:$N$11,MATCH(F$6,$L$5:$L$11,0))*IF($E$2="Depth (mm)",(1),IF($E$2="Intensity (mm/hr)",12,0))</f>
        <v>0.70417685811100961</v>
      </c>
      <c r="G8" s="24">
        <f>INDEX('IDF Distributions'!$A$1:$AB$290,MATCH('Bulk Tool'!$A8,'IDF Distributions'!$A$1:$A$290,0),MATCH('Bulk Tool'!G$5,'IDF Distributions'!$A$1:$AB$1,0))*INDEX($N$5:$N$11,MATCH(G$6,$L$5:$L$11,0))*IF($E$2="Depth (mm)",(1),IF($E$2="Intensity (mm/hr)",12,0))</f>
        <v>0.79312854044446535</v>
      </c>
      <c r="H8" s="24">
        <f>INDEX('IDF Distributions'!$A$1:$AB$290,MATCH('Bulk Tool'!$A8,'IDF Distributions'!$A$1:$A$290,0),MATCH('Bulk Tool'!H$5,'IDF Distributions'!$A$1:$AB$1,0))*INDEX($N$5:$N$11,MATCH(H$6,$L$5:$L$11,0))*IF($E$2="Depth (mm)",(1),IF($E$2="Intensity (mm/hr)",12,0))</f>
        <v>0.88825663509889452</v>
      </c>
      <c r="I8" s="12" t="str">
        <f>IF(COUNTIF($H$7:H8,$H$7)&gt;1,"Do Not Copy","Copy")</f>
        <v>Copy</v>
      </c>
      <c r="L8" s="118" t="s">
        <v>4</v>
      </c>
      <c r="M8" s="62">
        <f>INDEX('IDF Tables'!$A$2:$J$298,MATCH('Bulk Tool'!$I$2,'IDF Tables'!$A$2:$A$298,0),MATCH('Bulk Tool'!$L8,'IDF Tables'!$A$1:$J$1,0))</f>
        <v>23.486745774896949</v>
      </c>
      <c r="N8" s="116">
        <f t="shared" si="2"/>
        <v>23.486745774896949</v>
      </c>
    </row>
    <row r="9" spans="1:14" x14ac:dyDescent="0.25">
      <c r="A9" s="128">
        <f t="shared" ref="A9:A72" si="3">A8+TIME(0,5,0)</f>
        <v>6.9444444444444441E-3</v>
      </c>
      <c r="B9" s="24">
        <f>INDEX('IDF Distributions'!$A$1:$AB$290,MATCH('Bulk Tool'!$A9,'IDF Distributions'!$A$1:$A$290,0),MATCH('Bulk Tool'!B$5,'IDF Distributions'!$A$1:$AB$1,0))*INDEX($N$5:$N$11,MATCH(B$6,$L$5:$L$11,0))*IF($E$2="Depth (mm)",(1),IF($E$2="Intensity (mm/hr)",12,0))</f>
        <v>0.26011231371002674</v>
      </c>
      <c r="C9" s="24">
        <f>INDEX('IDF Distributions'!$A$1:$AB$290,MATCH('Bulk Tool'!$A9,'IDF Distributions'!$A$1:$A$290,0),MATCH('Bulk Tool'!C$5,'IDF Distributions'!$A$1:$AB$1,0))*INDEX($N$5:$N$11,MATCH(C$6,$L$5:$L$11,0))*IF($E$2="Depth (mm)",(1),IF($E$2="Intensity (mm/hr)",12,0))</f>
        <v>0.34685054064199605</v>
      </c>
      <c r="D9" s="24">
        <f>INDEX('IDF Distributions'!$A$1:$AB$290,MATCH('Bulk Tool'!$A9,'IDF Distributions'!$A$1:$A$290,0),MATCH('Bulk Tool'!D$5,'IDF Distributions'!$A$1:$AB$1,0))*INDEX($N$5:$N$11,MATCH(D$6,$L$5:$L$11,0))*IF($E$2="Depth (mm)",(1),IF($E$2="Intensity (mm/hr)",12,0))</f>
        <v>0.40843639221281108</v>
      </c>
      <c r="E9" s="24">
        <f>INDEX('IDF Distributions'!$A$1:$AB$290,MATCH('Bulk Tool'!$A9,'IDF Distributions'!$A$1:$A$290,0),MATCH('Bulk Tool'!E$5,'IDF Distributions'!$A$1:$AB$1,0))*INDEX($N$5:$N$11,MATCH(E$6,$L$5:$L$11,0))*IF($E$2="Depth (mm)",(1),IF($E$2="Intensity (mm/hr)",12,0))</f>
        <v>0.49322166127283595</v>
      </c>
      <c r="F9" s="24">
        <f>INDEX('IDF Distributions'!$A$1:$AB$290,MATCH('Bulk Tool'!$A9,'IDF Distributions'!$A$1:$A$290,0),MATCH('Bulk Tool'!F$5,'IDF Distributions'!$A$1:$AB$1,0))*INDEX($N$5:$N$11,MATCH(F$6,$L$5:$L$11,0))*IF($E$2="Depth (mm)",(1),IF($E$2="Intensity (mm/hr)",12,0))</f>
        <v>0.56014068258830318</v>
      </c>
      <c r="G9" s="24">
        <f>INDEX('IDF Distributions'!$A$1:$AB$290,MATCH('Bulk Tool'!$A9,'IDF Distributions'!$A$1:$A$290,0),MATCH('Bulk Tool'!G$5,'IDF Distributions'!$A$1:$AB$1,0))*INDEX($N$5:$N$11,MATCH(G$6,$L$5:$L$11,0))*IF($E$2="Depth (mm)",(1),IF($E$2="Intensity (mm/hr)",12,0))</f>
        <v>0.63089770262627942</v>
      </c>
      <c r="H9" s="24">
        <f>INDEX('IDF Distributions'!$A$1:$AB$290,MATCH('Bulk Tool'!$A9,'IDF Distributions'!$A$1:$A$290,0),MATCH('Bulk Tool'!H$5,'IDF Distributions'!$A$1:$AB$1,0))*INDEX($N$5:$N$11,MATCH(H$6,$L$5:$L$11,0))*IF($E$2="Depth (mm)",(1),IF($E$2="Intensity (mm/hr)",12,0))</f>
        <v>0.70656777791957526</v>
      </c>
      <c r="I9" s="12" t="str">
        <f>IF(COUNTIF($H$7:H9,$H$7)&gt;1,"Do Not Copy","Copy")</f>
        <v>Copy</v>
      </c>
      <c r="L9" s="118" t="s">
        <v>5</v>
      </c>
      <c r="M9" s="62">
        <f>INDEX('IDF Tables'!$A$2:$J$298,MATCH('Bulk Tool'!$I$2,'IDF Tables'!$A$2:$A$298,0),MATCH('Bulk Tool'!$L9,'IDF Tables'!$A$1:$J$1,0))</f>
        <v>26.673365837538242</v>
      </c>
      <c r="N9" s="116">
        <f t="shared" si="2"/>
        <v>26.673365837538242</v>
      </c>
    </row>
    <row r="10" spans="1:14" x14ac:dyDescent="0.25">
      <c r="A10" s="128">
        <f t="shared" si="3"/>
        <v>1.0416666666666666E-2</v>
      </c>
      <c r="B10" s="24">
        <f>INDEX('IDF Distributions'!$A$1:$AB$290,MATCH('Bulk Tool'!$A10,'IDF Distributions'!$A$1:$A$290,0),MATCH('Bulk Tool'!B$5,'IDF Distributions'!$A$1:$AB$1,0))*INDEX($N$5:$N$11,MATCH(B$6,$L$5:$L$11,0))*IF($E$2="Depth (mm)",(1),IF($E$2="Intensity (mm/hr)",12,0))</f>
        <v>0.25020327318773983</v>
      </c>
      <c r="C10" s="24">
        <f>INDEX('IDF Distributions'!$A$1:$AB$290,MATCH('Bulk Tool'!$A10,'IDF Distributions'!$A$1:$A$290,0),MATCH('Bulk Tool'!C$5,'IDF Distributions'!$A$1:$AB$1,0))*INDEX($N$5:$N$11,MATCH(C$6,$L$5:$L$11,0))*IF($E$2="Depth (mm)",(1),IF($E$2="Intensity (mm/hr)",12,0))</f>
        <v>0.33363718671277692</v>
      </c>
      <c r="D10" s="24">
        <f>INDEX('IDF Distributions'!$A$1:$AB$290,MATCH('Bulk Tool'!$A10,'IDF Distributions'!$A$1:$A$290,0),MATCH('Bulk Tool'!D$5,'IDF Distributions'!$A$1:$AB$1,0))*INDEX($N$5:$N$11,MATCH(D$6,$L$5:$L$11,0))*IF($E$2="Depth (mm)",(1),IF($E$2="Intensity (mm/hr)",12,0))</f>
        <v>0.39287691060470381</v>
      </c>
      <c r="E10" s="24">
        <f>INDEX('IDF Distributions'!$A$1:$AB$290,MATCH('Bulk Tool'!$A10,'IDF Distributions'!$A$1:$A$290,0),MATCH('Bulk Tool'!E$5,'IDF Distributions'!$A$1:$AB$1,0))*INDEX($N$5:$N$11,MATCH(E$6,$L$5:$L$11,0))*IF($E$2="Depth (mm)",(1),IF($E$2="Intensity (mm/hr)",12,0))</f>
        <v>0.47443226465291821</v>
      </c>
      <c r="F10" s="24">
        <f>INDEX('IDF Distributions'!$A$1:$AB$290,MATCH('Bulk Tool'!$A10,'IDF Distributions'!$A$1:$A$290,0),MATCH('Bulk Tool'!F$5,'IDF Distributions'!$A$1:$AB$1,0))*INDEX($N$5:$N$11,MATCH(F$6,$L$5:$L$11,0))*IF($E$2="Depth (mm)",(1),IF($E$2="Intensity (mm/hr)",12,0))</f>
        <v>0.53880198991827233</v>
      </c>
      <c r="G10" s="24">
        <f>INDEX('IDF Distributions'!$A$1:$AB$290,MATCH('Bulk Tool'!$A10,'IDF Distributions'!$A$1:$A$290,0),MATCH('Bulk Tool'!G$5,'IDF Distributions'!$A$1:$AB$1,0))*INDEX($N$5:$N$11,MATCH(G$6,$L$5:$L$11,0))*IF($E$2="Depth (mm)",(1),IF($E$2="Intensity (mm/hr)",12,0))</f>
        <v>0.60686350443099213</v>
      </c>
      <c r="H10" s="24">
        <f>INDEX('IDF Distributions'!$A$1:$AB$290,MATCH('Bulk Tool'!$A10,'IDF Distributions'!$A$1:$A$290,0),MATCH('Bulk Tool'!H$5,'IDF Distributions'!$A$1:$AB$1,0))*INDEX($N$5:$N$11,MATCH(H$6,$L$5:$L$11,0))*IF($E$2="Depth (mm)",(1),IF($E$2="Intensity (mm/hr)",12,0))</f>
        <v>0.67965091018930535</v>
      </c>
      <c r="I10" s="12" t="str">
        <f>IF(COUNTIF($H$7:H10,$H$7)&gt;1,"Do Not Copy","Copy")</f>
        <v>Copy</v>
      </c>
      <c r="L10" s="118" t="s">
        <v>6</v>
      </c>
      <c r="M10" s="62">
        <f>INDEX('IDF Tables'!$A$2:$J$298,MATCH('Bulk Tool'!$I$2,'IDF Tables'!$A$2:$A$298,0),MATCH('Bulk Tool'!$L10,'IDF Tables'!$A$1:$J$1,0))</f>
        <v>30.042747744108535</v>
      </c>
      <c r="N10" s="116">
        <f t="shared" si="2"/>
        <v>30.042747744108535</v>
      </c>
    </row>
    <row r="11" spans="1:14" x14ac:dyDescent="0.25">
      <c r="A11" s="128">
        <f t="shared" si="3"/>
        <v>1.3888888888888888E-2</v>
      </c>
      <c r="B11" s="24">
        <f>INDEX('IDF Distributions'!$A$1:$AB$290,MATCH('Bulk Tool'!$A11,'IDF Distributions'!$A$1:$A$290,0),MATCH('Bulk Tool'!B$5,'IDF Distributions'!$A$1:$AB$1,0))*INDEX($N$5:$N$11,MATCH(B$6,$L$5:$L$11,0))*IF($E$2="Depth (mm)",(1),IF($E$2="Intensity (mm/hr)",12,0))</f>
        <v>0.2402942326654533</v>
      </c>
      <c r="C11" s="24">
        <f>INDEX('IDF Distributions'!$A$1:$AB$290,MATCH('Bulk Tool'!$A11,'IDF Distributions'!$A$1:$A$290,0),MATCH('Bulk Tool'!C$5,'IDF Distributions'!$A$1:$AB$1,0))*INDEX($N$5:$N$11,MATCH(C$6,$L$5:$L$11,0))*IF($E$2="Depth (mm)",(1),IF($E$2="Intensity (mm/hr)",12,0))</f>
        <v>0.32042383278355829</v>
      </c>
      <c r="D11" s="24">
        <f>INDEX('IDF Distributions'!$A$1:$AB$290,MATCH('Bulk Tool'!$A11,'IDF Distributions'!$A$1:$A$290,0),MATCH('Bulk Tool'!D$5,'IDF Distributions'!$A$1:$AB$1,0))*INDEX($N$5:$N$11,MATCH(D$6,$L$5:$L$11,0))*IF($E$2="Depth (mm)",(1),IF($E$2="Intensity (mm/hr)",12,0))</f>
        <v>0.37731742899659693</v>
      </c>
      <c r="E11" s="24">
        <f>INDEX('IDF Distributions'!$A$1:$AB$290,MATCH('Bulk Tool'!$A11,'IDF Distributions'!$A$1:$A$290,0),MATCH('Bulk Tool'!E$5,'IDF Distributions'!$A$1:$AB$1,0))*INDEX($N$5:$N$11,MATCH(E$6,$L$5:$L$11,0))*IF($E$2="Depth (mm)",(1),IF($E$2="Intensity (mm/hr)",12,0))</f>
        <v>0.45564286803300097</v>
      </c>
      <c r="F11" s="24">
        <f>INDEX('IDF Distributions'!$A$1:$AB$290,MATCH('Bulk Tool'!$A11,'IDF Distributions'!$A$1:$A$290,0),MATCH('Bulk Tool'!F$5,'IDF Distributions'!$A$1:$AB$1,0))*INDEX($N$5:$N$11,MATCH(F$6,$L$5:$L$11,0))*IF($E$2="Depth (mm)",(1),IF($E$2="Intensity (mm/hr)",12,0))</f>
        <v>0.51746329724824203</v>
      </c>
      <c r="G11" s="24">
        <f>INDEX('IDF Distributions'!$A$1:$AB$290,MATCH('Bulk Tool'!$A11,'IDF Distributions'!$A$1:$A$290,0),MATCH('Bulk Tool'!G$5,'IDF Distributions'!$A$1:$AB$1,0))*INDEX($N$5:$N$11,MATCH(G$6,$L$5:$L$11,0))*IF($E$2="Depth (mm)",(1),IF($E$2="Intensity (mm/hr)",12,0))</f>
        <v>0.58282930623570572</v>
      </c>
      <c r="H11" s="24">
        <f>INDEX('IDF Distributions'!$A$1:$AB$290,MATCH('Bulk Tool'!$A11,'IDF Distributions'!$A$1:$A$290,0),MATCH('Bulk Tool'!H$5,'IDF Distributions'!$A$1:$AB$1,0))*INDEX($N$5:$N$11,MATCH(H$6,$L$5:$L$11,0))*IF($E$2="Depth (mm)",(1),IF($E$2="Intensity (mm/hr)",12,0))</f>
        <v>0.65273404245903632</v>
      </c>
      <c r="I11" s="12" t="str">
        <f>IF(COUNTIF($H$7:H11,$H$7)&gt;1,"Do Not Copy","Copy")</f>
        <v>Copy</v>
      </c>
      <c r="L11" s="118" t="s">
        <v>7</v>
      </c>
      <c r="M11" s="62">
        <f>INDEX('IDF Tables'!$A$2:$J$298,MATCH('Bulk Tool'!$I$2,'IDF Tables'!$A$2:$A$298,0),MATCH('Bulk Tool'!$L11,'IDF Tables'!$A$1:$J$1,0))</f>
        <v>33.646084662836913</v>
      </c>
      <c r="N11" s="116">
        <f t="shared" si="2"/>
        <v>33.646084662836913</v>
      </c>
    </row>
    <row r="12" spans="1:14" x14ac:dyDescent="0.25">
      <c r="A12" s="128">
        <f t="shared" si="3"/>
        <v>1.7361111111111112E-2</v>
      </c>
      <c r="B12" s="24">
        <f>INDEX('IDF Distributions'!$A$1:$AB$290,MATCH('Bulk Tool'!$A12,'IDF Distributions'!$A$1:$A$290,0),MATCH('Bulk Tool'!B$5,'IDF Distributions'!$A$1:$AB$1,0))*INDEX($N$5:$N$11,MATCH(B$6,$L$5:$L$11,0))*IF($E$2="Depth (mm)",(1),IF($E$2="Intensity (mm/hr)",12,0))</f>
        <v>0.2303851921431665</v>
      </c>
      <c r="C12" s="24">
        <f>INDEX('IDF Distributions'!$A$1:$AB$290,MATCH('Bulk Tool'!$A12,'IDF Distributions'!$A$1:$A$290,0),MATCH('Bulk Tool'!C$5,'IDF Distributions'!$A$1:$AB$1,0))*INDEX($N$5:$N$11,MATCH(C$6,$L$5:$L$11,0))*IF($E$2="Depth (mm)",(1),IF($E$2="Intensity (mm/hr)",12,0))</f>
        <v>0.30721047885433928</v>
      </c>
      <c r="D12" s="24">
        <f>INDEX('IDF Distributions'!$A$1:$AB$290,MATCH('Bulk Tool'!$A12,'IDF Distributions'!$A$1:$A$290,0),MATCH('Bulk Tool'!D$5,'IDF Distributions'!$A$1:$AB$1,0))*INDEX($N$5:$N$11,MATCH(D$6,$L$5:$L$11,0))*IF($E$2="Depth (mm)",(1),IF($E$2="Intensity (mm/hr)",12,0))</f>
        <v>0.36175794738848982</v>
      </c>
      <c r="E12" s="24">
        <f>INDEX('IDF Distributions'!$A$1:$AB$290,MATCH('Bulk Tool'!$A12,'IDF Distributions'!$A$1:$A$290,0),MATCH('Bulk Tool'!E$5,'IDF Distributions'!$A$1:$AB$1,0))*INDEX($N$5:$N$11,MATCH(E$6,$L$5:$L$11,0))*IF($E$2="Depth (mm)",(1),IF($E$2="Intensity (mm/hr)",12,0))</f>
        <v>0.43685347141308334</v>
      </c>
      <c r="F12" s="24">
        <f>INDEX('IDF Distributions'!$A$1:$AB$290,MATCH('Bulk Tool'!$A12,'IDF Distributions'!$A$1:$A$290,0),MATCH('Bulk Tool'!F$5,'IDF Distributions'!$A$1:$AB$1,0))*INDEX($N$5:$N$11,MATCH(F$6,$L$5:$L$11,0))*IF($E$2="Depth (mm)",(1),IF($E$2="Intensity (mm/hr)",12,0))</f>
        <v>0.49612460457821134</v>
      </c>
      <c r="G12" s="24">
        <f>INDEX('IDF Distributions'!$A$1:$AB$290,MATCH('Bulk Tool'!$A12,'IDF Distributions'!$A$1:$A$290,0),MATCH('Bulk Tool'!G$5,'IDF Distributions'!$A$1:$AB$1,0))*INDEX($N$5:$N$11,MATCH(G$6,$L$5:$L$11,0))*IF($E$2="Depth (mm)",(1),IF($E$2="Intensity (mm/hr)",12,0))</f>
        <v>0.55879510804041876</v>
      </c>
      <c r="H12" s="24">
        <f>INDEX('IDF Distributions'!$A$1:$AB$290,MATCH('Bulk Tool'!$A12,'IDF Distributions'!$A$1:$A$290,0),MATCH('Bulk Tool'!H$5,'IDF Distributions'!$A$1:$AB$1,0))*INDEX($N$5:$N$11,MATCH(H$6,$L$5:$L$11,0))*IF($E$2="Depth (mm)",(1),IF($E$2="Intensity (mm/hr)",12,0))</f>
        <v>0.62581717472876663</v>
      </c>
      <c r="I12" s="12" t="str">
        <f>IF(COUNTIF($H$7:H12,$H$7)&gt;1,"Do Not Copy","Copy")</f>
        <v>Copy</v>
      </c>
      <c r="L12"/>
    </row>
    <row r="13" spans="1:14" x14ac:dyDescent="0.25">
      <c r="A13" s="128">
        <f t="shared" si="3"/>
        <v>2.0833333333333336E-2</v>
      </c>
      <c r="B13" s="24">
        <f>INDEX('IDF Distributions'!$A$1:$AB$290,MATCH('Bulk Tool'!$A13,'IDF Distributions'!$A$1:$A$290,0),MATCH('Bulk Tool'!B$5,'IDF Distributions'!$A$1:$AB$1,0))*INDEX($N$5:$N$11,MATCH(B$6,$L$5:$L$11,0))*IF($E$2="Depth (mm)",(1),IF($E$2="Intensity (mm/hr)",12,0))</f>
        <v>0.22295341175145136</v>
      </c>
      <c r="C13" s="24">
        <f>INDEX('IDF Distributions'!$A$1:$AB$290,MATCH('Bulk Tool'!$A13,'IDF Distributions'!$A$1:$A$290,0),MATCH('Bulk Tool'!C$5,'IDF Distributions'!$A$1:$AB$1,0))*INDEX($N$5:$N$11,MATCH(C$6,$L$5:$L$11,0))*IF($E$2="Depth (mm)",(1),IF($E$2="Intensity (mm/hr)",12,0))</f>
        <v>0.29730046340742505</v>
      </c>
      <c r="D13" s="24">
        <f>INDEX('IDF Distributions'!$A$1:$AB$290,MATCH('Bulk Tool'!$A13,'IDF Distributions'!$A$1:$A$290,0),MATCH('Bulk Tool'!D$5,'IDF Distributions'!$A$1:$AB$1,0))*INDEX($N$5:$N$11,MATCH(D$6,$L$5:$L$11,0))*IF($E$2="Depth (mm)",(1),IF($E$2="Intensity (mm/hr)",12,0))</f>
        <v>0.35008833618240937</v>
      </c>
      <c r="E13" s="24">
        <f>INDEX('IDF Distributions'!$A$1:$AB$290,MATCH('Bulk Tool'!$A13,'IDF Distributions'!$A$1:$A$290,0),MATCH('Bulk Tool'!E$5,'IDF Distributions'!$A$1:$AB$1,0))*INDEX($N$5:$N$11,MATCH(E$6,$L$5:$L$11,0))*IF($E$2="Depth (mm)",(1),IF($E$2="Intensity (mm/hr)",12,0))</f>
        <v>0.42276142394814498</v>
      </c>
      <c r="F13" s="24">
        <f>INDEX('IDF Distributions'!$A$1:$AB$290,MATCH('Bulk Tool'!$A13,'IDF Distributions'!$A$1:$A$290,0),MATCH('Bulk Tool'!F$5,'IDF Distributions'!$A$1:$AB$1,0))*INDEX($N$5:$N$11,MATCH(F$6,$L$5:$L$11,0))*IF($E$2="Depth (mm)",(1),IF($E$2="Intensity (mm/hr)",12,0))</f>
        <v>0.48012058507568822</v>
      </c>
      <c r="G13" s="24">
        <f>INDEX('IDF Distributions'!$A$1:$AB$290,MATCH('Bulk Tool'!$A13,'IDF Distributions'!$A$1:$A$290,0),MATCH('Bulk Tool'!G$5,'IDF Distributions'!$A$1:$AB$1,0))*INDEX($N$5:$N$11,MATCH(G$6,$L$5:$L$11,0))*IF($E$2="Depth (mm)",(1),IF($E$2="Intensity (mm/hr)",12,0))</f>
        <v>0.54076945939395349</v>
      </c>
      <c r="H13" s="24">
        <f>INDEX('IDF Distributions'!$A$1:$AB$290,MATCH('Bulk Tool'!$A13,'IDF Distributions'!$A$1:$A$290,0),MATCH('Bulk Tool'!H$5,'IDF Distributions'!$A$1:$AB$1,0))*INDEX($N$5:$N$11,MATCH(H$6,$L$5:$L$11,0))*IF($E$2="Depth (mm)",(1),IF($E$2="Intensity (mm/hr)",12,0))</f>
        <v>0.60562952393106428</v>
      </c>
      <c r="I13" s="12" t="str">
        <f>IF(COUNTIF($H$7:H13,$H$7)&gt;1,"Do Not Copy","Copy")</f>
        <v>Copy</v>
      </c>
      <c r="L13" s="115" t="s">
        <v>20</v>
      </c>
      <c r="M13" s="12">
        <f>INDEX('IDF Tables'!$B$2:$B$298,MATCH('Bulk Tool'!$I$2,'IDF Tables'!$A$2:$A$298,0))</f>
        <v>1</v>
      </c>
      <c r="N13" s="117" t="s">
        <v>407</v>
      </c>
    </row>
    <row r="14" spans="1:14" x14ac:dyDescent="0.25">
      <c r="A14" s="128">
        <f t="shared" si="3"/>
        <v>2.4305555555555559E-2</v>
      </c>
      <c r="B14" s="24">
        <f>INDEX('IDF Distributions'!$A$1:$AB$290,MATCH('Bulk Tool'!$A14,'IDF Distributions'!$A$1:$A$290,0),MATCH('Bulk Tool'!B$5,'IDF Distributions'!$A$1:$AB$1,0))*INDEX($N$5:$N$11,MATCH(B$6,$L$5:$L$11,0))*IF($E$2="Depth (mm)",(1),IF($E$2="Intensity (mm/hr)",12,0))</f>
        <v>0.22295341175145136</v>
      </c>
      <c r="C14" s="24">
        <f>INDEX('IDF Distributions'!$A$1:$AB$290,MATCH('Bulk Tool'!$A14,'IDF Distributions'!$A$1:$A$290,0),MATCH('Bulk Tool'!C$5,'IDF Distributions'!$A$1:$AB$1,0))*INDEX($N$5:$N$11,MATCH(C$6,$L$5:$L$11,0))*IF($E$2="Depth (mm)",(1),IF($E$2="Intensity (mm/hr)",12,0))</f>
        <v>0.29730046340742505</v>
      </c>
      <c r="D14" s="24">
        <f>INDEX('IDF Distributions'!$A$1:$AB$290,MATCH('Bulk Tool'!$A14,'IDF Distributions'!$A$1:$A$290,0),MATCH('Bulk Tool'!D$5,'IDF Distributions'!$A$1:$AB$1,0))*INDEX($N$5:$N$11,MATCH(D$6,$L$5:$L$11,0))*IF($E$2="Depth (mm)",(1),IF($E$2="Intensity (mm/hr)",12,0))</f>
        <v>0.35008833618240937</v>
      </c>
      <c r="E14" s="24">
        <f>INDEX('IDF Distributions'!$A$1:$AB$290,MATCH('Bulk Tool'!$A14,'IDF Distributions'!$A$1:$A$290,0),MATCH('Bulk Tool'!E$5,'IDF Distributions'!$A$1:$AB$1,0))*INDEX($N$5:$N$11,MATCH(E$6,$L$5:$L$11,0))*IF($E$2="Depth (mm)",(1),IF($E$2="Intensity (mm/hr)",12,0))</f>
        <v>0.42276142394814498</v>
      </c>
      <c r="F14" s="24">
        <f>INDEX('IDF Distributions'!$A$1:$AB$290,MATCH('Bulk Tool'!$A14,'IDF Distributions'!$A$1:$A$290,0),MATCH('Bulk Tool'!F$5,'IDF Distributions'!$A$1:$AB$1,0))*INDEX($N$5:$N$11,MATCH(F$6,$L$5:$L$11,0))*IF($E$2="Depth (mm)",(1),IF($E$2="Intensity (mm/hr)",12,0))</f>
        <v>0.48012058507568822</v>
      </c>
      <c r="G14" s="24">
        <f>INDEX('IDF Distributions'!$A$1:$AB$290,MATCH('Bulk Tool'!$A14,'IDF Distributions'!$A$1:$A$290,0),MATCH('Bulk Tool'!G$5,'IDF Distributions'!$A$1:$AB$1,0))*INDEX($N$5:$N$11,MATCH(G$6,$L$5:$L$11,0))*IF($E$2="Depth (mm)",(1),IF($E$2="Intensity (mm/hr)",12,0))</f>
        <v>0.54076945939395349</v>
      </c>
      <c r="H14" s="24">
        <f>INDEX('IDF Distributions'!$A$1:$AB$290,MATCH('Bulk Tool'!$A14,'IDF Distributions'!$A$1:$A$290,0),MATCH('Bulk Tool'!H$5,'IDF Distributions'!$A$1:$AB$1,0))*INDEX($N$5:$N$11,MATCH(H$6,$L$5:$L$11,0))*IF($E$2="Depth (mm)",(1),IF($E$2="Intensity (mm/hr)",12,0))</f>
        <v>0.60562952393106428</v>
      </c>
      <c r="I14" s="12" t="str">
        <f>IF(COUNTIF($H$7:H14,$H$7)&gt;1,"Do Not Copy","Copy")</f>
        <v>Copy</v>
      </c>
      <c r="L14"/>
    </row>
    <row r="15" spans="1:14" x14ac:dyDescent="0.25">
      <c r="A15" s="128">
        <f t="shared" si="3"/>
        <v>2.7777777777777783E-2</v>
      </c>
      <c r="B15" s="24">
        <f>INDEX('IDF Distributions'!$A$1:$AB$290,MATCH('Bulk Tool'!$A15,'IDF Distributions'!$A$1:$A$290,0),MATCH('Bulk Tool'!B$5,'IDF Distributions'!$A$1:$AB$1,0))*INDEX($N$5:$N$11,MATCH(B$6,$L$5:$L$11,0))*IF($E$2="Depth (mm)",(1),IF($E$2="Intensity (mm/hr)",12,0))</f>
        <v>0.23533971240430998</v>
      </c>
      <c r="C15" s="24">
        <f>INDEX('IDF Distributions'!$A$1:$AB$290,MATCH('Bulk Tool'!$A15,'IDF Distributions'!$A$1:$A$290,0),MATCH('Bulk Tool'!C$5,'IDF Distributions'!$A$1:$AB$1,0))*INDEX($N$5:$N$11,MATCH(C$6,$L$5:$L$11,0))*IF($E$2="Depth (mm)",(1),IF($E$2="Intensity (mm/hr)",12,0))</f>
        <v>0.31381715581894892</v>
      </c>
      <c r="D15" s="24">
        <f>INDEX('IDF Distributions'!$A$1:$AB$290,MATCH('Bulk Tool'!$A15,'IDF Distributions'!$A$1:$A$290,0),MATCH('Bulk Tool'!D$5,'IDF Distributions'!$A$1:$AB$1,0))*INDEX($N$5:$N$11,MATCH(D$6,$L$5:$L$11,0))*IF($E$2="Depth (mm)",(1),IF($E$2="Intensity (mm/hr)",12,0))</f>
        <v>0.36953768819254351</v>
      </c>
      <c r="E15" s="24">
        <f>INDEX('IDF Distributions'!$A$1:$AB$290,MATCH('Bulk Tool'!$A15,'IDF Distributions'!$A$1:$A$290,0),MATCH('Bulk Tool'!E$5,'IDF Distributions'!$A$1:$AB$1,0))*INDEX($N$5:$N$11,MATCH(E$6,$L$5:$L$11,0))*IF($E$2="Depth (mm)",(1),IF($E$2="Intensity (mm/hr)",12,0))</f>
        <v>0.44624816972304227</v>
      </c>
      <c r="F15" s="24">
        <f>INDEX('IDF Distributions'!$A$1:$AB$290,MATCH('Bulk Tool'!$A15,'IDF Distributions'!$A$1:$A$290,0),MATCH('Bulk Tool'!F$5,'IDF Distributions'!$A$1:$AB$1,0))*INDEX($N$5:$N$11,MATCH(F$6,$L$5:$L$11,0))*IF($E$2="Depth (mm)",(1),IF($E$2="Intensity (mm/hr)",12,0))</f>
        <v>0.50679395091322688</v>
      </c>
      <c r="G15" s="24">
        <f>INDEX('IDF Distributions'!$A$1:$AB$290,MATCH('Bulk Tool'!$A15,'IDF Distributions'!$A$1:$A$290,0),MATCH('Bulk Tool'!G$5,'IDF Distributions'!$A$1:$AB$1,0))*INDEX($N$5:$N$11,MATCH(G$6,$L$5:$L$11,0))*IF($E$2="Depth (mm)",(1),IF($E$2="Intensity (mm/hr)",12,0))</f>
        <v>0.57081220713806247</v>
      </c>
      <c r="H15" s="24">
        <f>INDEX('IDF Distributions'!$A$1:$AB$290,MATCH('Bulk Tool'!$A15,'IDF Distributions'!$A$1:$A$290,0),MATCH('Bulk Tool'!H$5,'IDF Distributions'!$A$1:$AB$1,0))*INDEX($N$5:$N$11,MATCH(H$6,$L$5:$L$11,0))*IF($E$2="Depth (mm)",(1),IF($E$2="Intensity (mm/hr)",12,0))</f>
        <v>0.63927560859390165</v>
      </c>
      <c r="I15" s="12" t="str">
        <f>IF(COUNTIF($H$7:H15,$H$7)&gt;1,"Do Not Copy","Copy")</f>
        <v>Copy</v>
      </c>
      <c r="L15"/>
    </row>
    <row r="16" spans="1:14" x14ac:dyDescent="0.25">
      <c r="A16" s="128">
        <f t="shared" si="3"/>
        <v>3.1250000000000007E-2</v>
      </c>
      <c r="B16" s="24">
        <f>INDEX('IDF Distributions'!$A$1:$AB$290,MATCH('Bulk Tool'!$A16,'IDF Distributions'!$A$1:$A$290,0),MATCH('Bulk Tool'!B$5,'IDF Distributions'!$A$1:$AB$1,0))*INDEX($N$5:$N$11,MATCH(B$6,$L$5:$L$11,0))*IF($E$2="Depth (mm)",(1),IF($E$2="Intensity (mm/hr)",12,0))</f>
        <v>0.24524875292659637</v>
      </c>
      <c r="C16" s="24">
        <f>INDEX('IDF Distributions'!$A$1:$AB$290,MATCH('Bulk Tool'!$A16,'IDF Distributions'!$A$1:$A$290,0),MATCH('Bulk Tool'!C$5,'IDF Distributions'!$A$1:$AB$1,0))*INDEX($N$5:$N$11,MATCH(C$6,$L$5:$L$11,0))*IF($E$2="Depth (mm)",(1),IF($E$2="Intensity (mm/hr)",12,0))</f>
        <v>0.32703050974816739</v>
      </c>
      <c r="D16" s="24">
        <f>INDEX('IDF Distributions'!$A$1:$AB$290,MATCH('Bulk Tool'!$A16,'IDF Distributions'!$A$1:$A$290,0),MATCH('Bulk Tool'!D$5,'IDF Distributions'!$A$1:$AB$1,0))*INDEX($N$5:$N$11,MATCH(D$6,$L$5:$L$11,0))*IF($E$2="Depth (mm)",(1),IF($E$2="Intensity (mm/hr)",12,0))</f>
        <v>0.38509716980065012</v>
      </c>
      <c r="E16" s="24">
        <f>INDEX('IDF Distributions'!$A$1:$AB$290,MATCH('Bulk Tool'!$A16,'IDF Distributions'!$A$1:$A$290,0),MATCH('Bulk Tool'!E$5,'IDF Distributions'!$A$1:$AB$1,0))*INDEX($N$5:$N$11,MATCH(E$6,$L$5:$L$11,0))*IF($E$2="Depth (mm)",(1),IF($E$2="Intensity (mm/hr)",12,0))</f>
        <v>0.46503756634295923</v>
      </c>
      <c r="F16" s="24">
        <f>INDEX('IDF Distributions'!$A$1:$AB$290,MATCH('Bulk Tool'!$A16,'IDF Distributions'!$A$1:$A$290,0),MATCH('Bulk Tool'!F$5,'IDF Distributions'!$A$1:$AB$1,0))*INDEX($N$5:$N$11,MATCH(F$6,$L$5:$L$11,0))*IF($E$2="Depth (mm)",(1),IF($E$2="Intensity (mm/hr)",12,0))</f>
        <v>0.52813264358325673</v>
      </c>
      <c r="G16" s="24">
        <f>INDEX('IDF Distributions'!$A$1:$AB$290,MATCH('Bulk Tool'!$A16,'IDF Distributions'!$A$1:$A$290,0),MATCH('Bulk Tool'!G$5,'IDF Distributions'!$A$1:$AB$1,0))*INDEX($N$5:$N$11,MATCH(G$6,$L$5:$L$11,0))*IF($E$2="Depth (mm)",(1),IF($E$2="Intensity (mm/hr)",12,0))</f>
        <v>0.59484640533334854</v>
      </c>
      <c r="H16" s="24">
        <f>INDEX('IDF Distributions'!$A$1:$AB$290,MATCH('Bulk Tool'!$A16,'IDF Distributions'!$A$1:$A$290,0),MATCH('Bulk Tool'!H$5,'IDF Distributions'!$A$1:$AB$1,0))*INDEX($N$5:$N$11,MATCH(H$6,$L$5:$L$11,0))*IF($E$2="Depth (mm)",(1),IF($E$2="Intensity (mm/hr)",12,0))</f>
        <v>0.66619247632417034</v>
      </c>
      <c r="I16" s="12" t="str">
        <f>IF(COUNTIF($H$7:H16,$H$7)&gt;1,"Do Not Copy","Copy")</f>
        <v>Copy</v>
      </c>
      <c r="L16" s="129" t="s">
        <v>446</v>
      </c>
    </row>
    <row r="17" spans="1:13" x14ac:dyDescent="0.25">
      <c r="A17" s="128">
        <f t="shared" si="3"/>
        <v>3.4722222222222231E-2</v>
      </c>
      <c r="B17" s="24">
        <f>INDEX('IDF Distributions'!$A$1:$AB$290,MATCH('Bulk Tool'!$A17,'IDF Distributions'!$A$1:$A$290,0),MATCH('Bulk Tool'!B$5,'IDF Distributions'!$A$1:$AB$1,0))*INDEX($N$5:$N$11,MATCH(B$6,$L$5:$L$11,0))*IF($E$2="Depth (mm)",(1),IF($E$2="Intensity (mm/hr)",12,0))</f>
        <v>0.25515779344888356</v>
      </c>
      <c r="C17" s="24">
        <f>INDEX('IDF Distributions'!$A$1:$AB$290,MATCH('Bulk Tool'!$A17,'IDF Distributions'!$A$1:$A$290,0),MATCH('Bulk Tool'!C$5,'IDF Distributions'!$A$1:$AB$1,0))*INDEX($N$5:$N$11,MATCH(C$6,$L$5:$L$11,0))*IF($E$2="Depth (mm)",(1),IF($E$2="Intensity (mm/hr)",12,0))</f>
        <v>0.3402438636773869</v>
      </c>
      <c r="D17" s="24">
        <f>INDEX('IDF Distributions'!$A$1:$AB$290,MATCH('Bulk Tool'!$A17,'IDF Distributions'!$A$1:$A$290,0),MATCH('Bulk Tool'!D$5,'IDF Distributions'!$A$1:$AB$1,0))*INDEX($N$5:$N$11,MATCH(D$6,$L$5:$L$11,0))*IF($E$2="Depth (mm)",(1),IF($E$2="Intensity (mm/hr)",12,0))</f>
        <v>0.40065665140875784</v>
      </c>
      <c r="E17" s="24">
        <f>INDEX('IDF Distributions'!$A$1:$AB$290,MATCH('Bulk Tool'!$A17,'IDF Distributions'!$A$1:$A$290,0),MATCH('Bulk Tool'!E$5,'IDF Distributions'!$A$1:$AB$1,0))*INDEX($N$5:$N$11,MATCH(E$6,$L$5:$L$11,0))*IF($E$2="Depth (mm)",(1),IF($E$2="Intensity (mm/hr)",12,0))</f>
        <v>0.48382696296287764</v>
      </c>
      <c r="F17" s="24">
        <f>INDEX('IDF Distributions'!$A$1:$AB$290,MATCH('Bulk Tool'!$A17,'IDF Distributions'!$A$1:$A$290,0),MATCH('Bulk Tool'!F$5,'IDF Distributions'!$A$1:$AB$1,0))*INDEX($N$5:$N$11,MATCH(F$6,$L$5:$L$11,0))*IF($E$2="Depth (mm)",(1),IF($E$2="Intensity (mm/hr)",12,0))</f>
        <v>0.54947133625328837</v>
      </c>
      <c r="G17" s="24">
        <f>INDEX('IDF Distributions'!$A$1:$AB$290,MATCH('Bulk Tool'!$A17,'IDF Distributions'!$A$1:$A$290,0),MATCH('Bulk Tool'!G$5,'IDF Distributions'!$A$1:$AB$1,0))*INDEX($N$5:$N$11,MATCH(G$6,$L$5:$L$11,0))*IF($E$2="Depth (mm)",(1),IF($E$2="Intensity (mm/hr)",12,0))</f>
        <v>0.6188806035286365</v>
      </c>
      <c r="H17" s="24">
        <f>INDEX('IDF Distributions'!$A$1:$AB$290,MATCH('Bulk Tool'!$A17,'IDF Distributions'!$A$1:$A$290,0),MATCH('Bulk Tool'!H$5,'IDF Distributions'!$A$1:$AB$1,0))*INDEX($N$5:$N$11,MATCH(H$6,$L$5:$L$11,0))*IF($E$2="Depth (mm)",(1),IF($E$2="Intensity (mm/hr)",12,0))</f>
        <v>0.69310934405444113</v>
      </c>
      <c r="I17" s="12" t="str">
        <f>IF(COUNTIF($H$7:H17,$H$7)&gt;1,"Do Not Copy","Copy")</f>
        <v>Copy</v>
      </c>
      <c r="L17" t="s">
        <v>417</v>
      </c>
    </row>
    <row r="18" spans="1:13" x14ac:dyDescent="0.25">
      <c r="A18" s="128">
        <f t="shared" si="3"/>
        <v>3.8194444444444454E-2</v>
      </c>
      <c r="B18" s="24">
        <f>INDEX('IDF Distributions'!$A$1:$AB$290,MATCH('Bulk Tool'!$A18,'IDF Distributions'!$A$1:$A$290,0),MATCH('Bulk Tool'!B$5,'IDF Distributions'!$A$1:$AB$1,0))*INDEX($N$5:$N$11,MATCH(B$6,$L$5:$L$11,0))*IF($E$2="Depth (mm)",(1),IF($E$2="Intensity (mm/hr)",12,0))</f>
        <v>0.2650668339711697</v>
      </c>
      <c r="C18" s="24">
        <f>INDEX('IDF Distributions'!$A$1:$AB$290,MATCH('Bulk Tool'!$A18,'IDF Distributions'!$A$1:$A$290,0),MATCH('Bulk Tool'!C$5,'IDF Distributions'!$A$1:$AB$1,0))*INDEX($N$5:$N$11,MATCH(C$6,$L$5:$L$11,0))*IF($E$2="Depth (mm)",(1),IF($E$2="Intensity (mm/hr)",12,0))</f>
        <v>0.35345721760660498</v>
      </c>
      <c r="D18" s="24">
        <f>INDEX('IDF Distributions'!$A$1:$AB$290,MATCH('Bulk Tool'!$A18,'IDF Distributions'!$A$1:$A$290,0),MATCH('Bulk Tool'!D$5,'IDF Distributions'!$A$1:$AB$1,0))*INDEX($N$5:$N$11,MATCH(D$6,$L$5:$L$11,0))*IF($E$2="Depth (mm)",(1),IF($E$2="Intensity (mm/hr)",12,0))</f>
        <v>0.41621613301686405</v>
      </c>
      <c r="E18" s="24">
        <f>INDEX('IDF Distributions'!$A$1:$AB$290,MATCH('Bulk Tool'!$A18,'IDF Distributions'!$A$1:$A$290,0),MATCH('Bulk Tool'!E$5,'IDF Distributions'!$A$1:$AB$1,0))*INDEX($N$5:$N$11,MATCH(E$6,$L$5:$L$11,0))*IF($E$2="Depth (mm)",(1),IF($E$2="Intensity (mm/hr)",12,0))</f>
        <v>0.50261635958279416</v>
      </c>
      <c r="F18" s="24">
        <f>INDEX('IDF Distributions'!$A$1:$AB$290,MATCH('Bulk Tool'!$A18,'IDF Distributions'!$A$1:$A$290,0),MATCH('Bulk Tool'!F$5,'IDF Distributions'!$A$1:$AB$1,0))*INDEX($N$5:$N$11,MATCH(F$6,$L$5:$L$11,0))*IF($E$2="Depth (mm)",(1),IF($E$2="Intensity (mm/hr)",12,0))</f>
        <v>0.57081002892331778</v>
      </c>
      <c r="G18" s="24">
        <f>INDEX('IDF Distributions'!$A$1:$AB$290,MATCH('Bulk Tool'!$A18,'IDF Distributions'!$A$1:$A$290,0),MATCH('Bulk Tool'!G$5,'IDF Distributions'!$A$1:$AB$1,0))*INDEX($N$5:$N$11,MATCH(G$6,$L$5:$L$11,0))*IF($E$2="Depth (mm)",(1),IF($E$2="Intensity (mm/hr)",12,0))</f>
        <v>0.6429148017239219</v>
      </c>
      <c r="H18" s="24">
        <f>INDEX('IDF Distributions'!$A$1:$AB$290,MATCH('Bulk Tool'!$A18,'IDF Distributions'!$A$1:$A$290,0),MATCH('Bulk Tool'!H$5,'IDF Distributions'!$A$1:$AB$1,0))*INDEX($N$5:$N$11,MATCH(H$6,$L$5:$L$11,0))*IF($E$2="Depth (mm)",(1),IF($E$2="Intensity (mm/hr)",12,0))</f>
        <v>0.72002621178470905</v>
      </c>
      <c r="I18" s="12" t="str">
        <f>IF(COUNTIF($H$7:H18,$H$7)&gt;1,"Do Not Copy","Copy")</f>
        <v>Copy</v>
      </c>
      <c r="L18"/>
    </row>
    <row r="19" spans="1:13" x14ac:dyDescent="0.25">
      <c r="A19" s="128">
        <f t="shared" si="3"/>
        <v>4.1666666666666678E-2</v>
      </c>
      <c r="B19" s="24">
        <f>INDEX('IDF Distributions'!$A$1:$AB$290,MATCH('Bulk Tool'!$A19,'IDF Distributions'!$A$1:$A$290,0),MATCH('Bulk Tool'!B$5,'IDF Distributions'!$A$1:$AB$1,0))*INDEX($N$5:$N$11,MATCH(B$6,$L$5:$L$11,0))*IF($E$2="Depth (mm)",(1),IF($E$2="Intensity (mm/hr)",12,0))</f>
        <v>0.28736217514631551</v>
      </c>
      <c r="C19" s="24">
        <f>INDEX('IDF Distributions'!$A$1:$AB$290,MATCH('Bulk Tool'!$A19,'IDF Distributions'!$A$1:$A$290,0),MATCH('Bulk Tool'!C$5,'IDF Distributions'!$A$1:$AB$1,0))*INDEX($N$5:$N$11,MATCH(C$6,$L$5:$L$11,0))*IF($E$2="Depth (mm)",(1),IF($E$2="Intensity (mm/hr)",12,0))</f>
        <v>0.38318726394734837</v>
      </c>
      <c r="D19" s="24">
        <f>INDEX('IDF Distributions'!$A$1:$AB$290,MATCH('Bulk Tool'!$A19,'IDF Distributions'!$A$1:$A$290,0),MATCH('Bulk Tool'!D$5,'IDF Distributions'!$A$1:$AB$1,0))*INDEX($N$5:$N$11,MATCH(D$6,$L$5:$L$11,0))*IF($E$2="Depth (mm)",(1),IF($E$2="Intensity (mm/hr)",12,0))</f>
        <v>0.45122496663510603</v>
      </c>
      <c r="E19" s="24">
        <f>INDEX('IDF Distributions'!$A$1:$AB$290,MATCH('Bulk Tool'!$A19,'IDF Distributions'!$A$1:$A$290,0),MATCH('Bulk Tool'!E$5,'IDF Distributions'!$A$1:$AB$1,0))*INDEX($N$5:$N$11,MATCH(E$6,$L$5:$L$11,0))*IF($E$2="Depth (mm)",(1),IF($E$2="Intensity (mm/hr)",12,0))</f>
        <v>0.54489250197760986</v>
      </c>
      <c r="F19" s="24">
        <f>INDEX('IDF Distributions'!$A$1:$AB$290,MATCH('Bulk Tool'!$A19,'IDF Distributions'!$A$1:$A$290,0),MATCH('Bulk Tool'!F$5,'IDF Distributions'!$A$1:$AB$1,0))*INDEX($N$5:$N$11,MATCH(F$6,$L$5:$L$11,0))*IF($E$2="Depth (mm)",(1),IF($E$2="Intensity (mm/hr)",12,0))</f>
        <v>0.61882208743088785</v>
      </c>
      <c r="G19" s="24">
        <f>INDEX('IDF Distributions'!$A$1:$AB$290,MATCH('Bulk Tool'!$A19,'IDF Distributions'!$A$1:$A$290,0),MATCH('Bulk Tool'!G$5,'IDF Distributions'!$A$1:$AB$1,0))*INDEX($N$5:$N$11,MATCH(G$6,$L$5:$L$11,0))*IF($E$2="Depth (mm)",(1),IF($E$2="Intensity (mm/hr)",12,0))</f>
        <v>0.69699174766331884</v>
      </c>
      <c r="H19" s="24">
        <f>INDEX('IDF Distributions'!$A$1:$AB$290,MATCH('Bulk Tool'!$A19,'IDF Distributions'!$A$1:$A$290,0),MATCH('Bulk Tool'!H$5,'IDF Distributions'!$A$1:$AB$1,0))*INDEX($N$5:$N$11,MATCH(H$6,$L$5:$L$11,0))*IF($E$2="Depth (mm)",(1),IF($E$2="Intensity (mm/hr)",12,0))</f>
        <v>0.78058916417781732</v>
      </c>
      <c r="I19" s="12" t="str">
        <f>IF(COUNTIF($H$7:H19,$H$7)&gt;1,"Do Not Copy","Copy")</f>
        <v>Copy</v>
      </c>
      <c r="L19"/>
    </row>
    <row r="20" spans="1:13" x14ac:dyDescent="0.25">
      <c r="A20" s="128">
        <f t="shared" si="3"/>
        <v>4.5138888888888902E-2</v>
      </c>
      <c r="B20" s="24">
        <f>INDEX('IDF Distributions'!$A$1:$AB$290,MATCH('Bulk Tool'!$A20,'IDF Distributions'!$A$1:$A$290,0),MATCH('Bulk Tool'!B$5,'IDF Distributions'!$A$1:$AB$1,0))*INDEX($N$5:$N$11,MATCH(B$6,$L$5:$L$11,0))*IF($E$2="Depth (mm)",(1),IF($E$2="Intensity (mm/hr)",12,0))</f>
        <v>0.34681641828003551</v>
      </c>
      <c r="C20" s="24">
        <f>INDEX('IDF Distributions'!$A$1:$AB$290,MATCH('Bulk Tool'!$A20,'IDF Distributions'!$A$1:$A$290,0),MATCH('Bulk Tool'!C$5,'IDF Distributions'!$A$1:$AB$1,0))*INDEX($N$5:$N$11,MATCH(C$6,$L$5:$L$11,0))*IF($E$2="Depth (mm)",(1),IF($E$2="Intensity (mm/hr)",12,0))</f>
        <v>0.46246738752266126</v>
      </c>
      <c r="D20" s="24">
        <f>INDEX('IDF Distributions'!$A$1:$AB$290,MATCH('Bulk Tool'!$A20,'IDF Distributions'!$A$1:$A$290,0),MATCH('Bulk Tool'!D$5,'IDF Distributions'!$A$1:$AB$1,0))*INDEX($N$5:$N$11,MATCH(D$6,$L$5:$L$11,0))*IF($E$2="Depth (mm)",(1),IF($E$2="Intensity (mm/hr)",12,0))</f>
        <v>0.544581856283748</v>
      </c>
      <c r="E20" s="24">
        <f>INDEX('IDF Distributions'!$A$1:$AB$290,MATCH('Bulk Tool'!$A20,'IDF Distributions'!$A$1:$A$290,0),MATCH('Bulk Tool'!E$5,'IDF Distributions'!$A$1:$AB$1,0))*INDEX($N$5:$N$11,MATCH(E$6,$L$5:$L$11,0))*IF($E$2="Depth (mm)",(1),IF($E$2="Intensity (mm/hr)",12,0))</f>
        <v>0.65762888169711453</v>
      </c>
      <c r="F20" s="24">
        <f>INDEX('IDF Distributions'!$A$1:$AB$290,MATCH('Bulk Tool'!$A20,'IDF Distributions'!$A$1:$A$290,0),MATCH('Bulk Tool'!F$5,'IDF Distributions'!$A$1:$AB$1,0))*INDEX($N$5:$N$11,MATCH(F$6,$L$5:$L$11,0))*IF($E$2="Depth (mm)",(1),IF($E$2="Intensity (mm/hr)",12,0))</f>
        <v>0.74685424345107077</v>
      </c>
      <c r="G20" s="24">
        <f>INDEX('IDF Distributions'!$A$1:$AB$290,MATCH('Bulk Tool'!$A20,'IDF Distributions'!$A$1:$A$290,0),MATCH('Bulk Tool'!G$5,'IDF Distributions'!$A$1:$AB$1,0))*INDEX($N$5:$N$11,MATCH(G$6,$L$5:$L$11,0))*IF($E$2="Depth (mm)",(1),IF($E$2="Intensity (mm/hr)",12,0))</f>
        <v>0.84119693683503893</v>
      </c>
      <c r="H20" s="24">
        <f>INDEX('IDF Distributions'!$A$1:$AB$290,MATCH('Bulk Tool'!$A20,'IDF Distributions'!$A$1:$A$290,0),MATCH('Bulk Tool'!H$5,'IDF Distributions'!$A$1:$AB$1,0))*INDEX($N$5:$N$11,MATCH(H$6,$L$5:$L$11,0))*IF($E$2="Depth (mm)",(1),IF($E$2="Intensity (mm/hr)",12,0))</f>
        <v>0.94209037055943345</v>
      </c>
      <c r="I20" s="12" t="str">
        <f>IF(COUNTIF($H$7:H20,$H$7)&gt;1,"Do Not Copy","Copy")</f>
        <v>Copy</v>
      </c>
      <c r="L20"/>
      <c r="M20" s="2"/>
    </row>
    <row r="21" spans="1:13" x14ac:dyDescent="0.25">
      <c r="A21" s="128">
        <f t="shared" si="3"/>
        <v>4.8611111111111126E-2</v>
      </c>
      <c r="B21" s="24">
        <f>INDEX('IDF Distributions'!$A$1:$AB$290,MATCH('Bulk Tool'!$A21,'IDF Distributions'!$A$1:$A$290,0),MATCH('Bulk Tool'!B$5,'IDF Distributions'!$A$1:$AB$1,0))*INDEX($N$5:$N$11,MATCH(B$6,$L$5:$L$11,0))*IF($E$2="Depth (mm)",(1),IF($E$2="Intensity (mm/hr)",12,0))</f>
        <v>0.35920271893289413</v>
      </c>
      <c r="C21" s="24">
        <f>INDEX('IDF Distributions'!$A$1:$AB$290,MATCH('Bulk Tool'!$A21,'IDF Distributions'!$A$1:$A$290,0),MATCH('Bulk Tool'!C$5,'IDF Distributions'!$A$1:$AB$1,0))*INDEX($N$5:$N$11,MATCH(C$6,$L$5:$L$11,0))*IF($E$2="Depth (mm)",(1),IF($E$2="Intensity (mm/hr)",12,0))</f>
        <v>0.47898407993418513</v>
      </c>
      <c r="D21" s="24">
        <f>INDEX('IDF Distributions'!$A$1:$AB$290,MATCH('Bulk Tool'!$A21,'IDF Distributions'!$A$1:$A$290,0),MATCH('Bulk Tool'!D$5,'IDF Distributions'!$A$1:$AB$1,0))*INDEX($N$5:$N$11,MATCH(D$6,$L$5:$L$11,0))*IF($E$2="Depth (mm)",(1),IF($E$2="Intensity (mm/hr)",12,0))</f>
        <v>0.56403120829388209</v>
      </c>
      <c r="E21" s="24">
        <f>INDEX('IDF Distributions'!$A$1:$AB$290,MATCH('Bulk Tool'!$A21,'IDF Distributions'!$A$1:$A$290,0),MATCH('Bulk Tool'!E$5,'IDF Distributions'!$A$1:$AB$1,0))*INDEX($N$5:$N$11,MATCH(E$6,$L$5:$L$11,0))*IF($E$2="Depth (mm)",(1),IF($E$2="Intensity (mm/hr)",12,0))</f>
        <v>0.68111562747201182</v>
      </c>
      <c r="F21" s="24">
        <f>INDEX('IDF Distributions'!$A$1:$AB$290,MATCH('Bulk Tool'!$A21,'IDF Distributions'!$A$1:$A$290,0),MATCH('Bulk Tool'!F$5,'IDF Distributions'!$A$1:$AB$1,0))*INDEX($N$5:$N$11,MATCH(F$6,$L$5:$L$11,0))*IF($E$2="Depth (mm)",(1),IF($E$2="Intensity (mm/hr)",12,0))</f>
        <v>0.7735276092886092</v>
      </c>
      <c r="G21" s="24">
        <f>INDEX('IDF Distributions'!$A$1:$AB$290,MATCH('Bulk Tool'!$A21,'IDF Distributions'!$A$1:$A$290,0),MATCH('Bulk Tool'!G$5,'IDF Distributions'!$A$1:$AB$1,0))*INDEX($N$5:$N$11,MATCH(G$6,$L$5:$L$11,0))*IF($E$2="Depth (mm)",(1),IF($E$2="Intensity (mm/hr)",12,0))</f>
        <v>0.8712396845791478</v>
      </c>
      <c r="H21" s="24">
        <f>INDEX('IDF Distributions'!$A$1:$AB$290,MATCH('Bulk Tool'!$A21,'IDF Distributions'!$A$1:$A$290,0),MATCH('Bulk Tool'!H$5,'IDF Distributions'!$A$1:$AB$1,0))*INDEX($N$5:$N$11,MATCH(H$6,$L$5:$L$11,0))*IF($E$2="Depth (mm)",(1),IF($E$2="Intensity (mm/hr)",12,0))</f>
        <v>0.97573645522227093</v>
      </c>
      <c r="I21" s="12" t="str">
        <f>IF(COUNTIF($H$7:H21,$H$7)&gt;1,"Do Not Copy","Copy")</f>
        <v>Copy</v>
      </c>
      <c r="L21"/>
      <c r="M21" s="2"/>
    </row>
    <row r="22" spans="1:13" x14ac:dyDescent="0.25">
      <c r="A22" s="128">
        <f t="shared" si="3"/>
        <v>5.208333333333335E-2</v>
      </c>
      <c r="B22" s="24">
        <f>INDEX('IDF Distributions'!$A$1:$AB$290,MATCH('Bulk Tool'!$A22,'IDF Distributions'!$A$1:$A$290,0),MATCH('Bulk Tool'!B$5,'IDF Distributions'!$A$1:$AB$1,0))*INDEX($N$5:$N$11,MATCH(B$6,$L$5:$L$11,0))*IF($E$2="Depth (mm)",(1),IF($E$2="Intensity (mm/hr)",12,0))</f>
        <v>0.36911175945518027</v>
      </c>
      <c r="C22" s="24">
        <f>INDEX('IDF Distributions'!$A$1:$AB$290,MATCH('Bulk Tool'!$A22,'IDF Distributions'!$A$1:$A$290,0),MATCH('Bulk Tool'!C$5,'IDF Distributions'!$A$1:$AB$1,0))*INDEX($N$5:$N$11,MATCH(C$6,$L$5:$L$11,0))*IF($E$2="Depth (mm)",(1),IF($E$2="Intensity (mm/hr)",12,0))</f>
        <v>0.4921974338634032</v>
      </c>
      <c r="D22" s="24">
        <f>INDEX('IDF Distributions'!$A$1:$AB$290,MATCH('Bulk Tool'!$A22,'IDF Distributions'!$A$1:$A$290,0),MATCH('Bulk Tool'!D$5,'IDF Distributions'!$A$1:$AB$1,0))*INDEX($N$5:$N$11,MATCH(D$6,$L$5:$L$11,0))*IF($E$2="Depth (mm)",(1),IF($E$2="Intensity (mm/hr)",12,0))</f>
        <v>0.57959068990198825</v>
      </c>
      <c r="E22" s="24">
        <f>INDEX('IDF Distributions'!$A$1:$AB$290,MATCH('Bulk Tool'!$A22,'IDF Distributions'!$A$1:$A$290,0),MATCH('Bulk Tool'!E$5,'IDF Distributions'!$A$1:$AB$1,0))*INDEX($N$5:$N$11,MATCH(E$6,$L$5:$L$11,0))*IF($E$2="Depth (mm)",(1),IF($E$2="Intensity (mm/hr)",12,0))</f>
        <v>0.69990502409192823</v>
      </c>
      <c r="F22" s="24">
        <f>INDEX('IDF Distributions'!$A$1:$AB$290,MATCH('Bulk Tool'!$A22,'IDF Distributions'!$A$1:$A$290,0),MATCH('Bulk Tool'!F$5,'IDF Distributions'!$A$1:$AB$1,0))*INDEX($N$5:$N$11,MATCH(F$6,$L$5:$L$11,0))*IF($E$2="Depth (mm)",(1),IF($E$2="Intensity (mm/hr)",12,0))</f>
        <v>0.79486630195863872</v>
      </c>
      <c r="G22" s="24">
        <f>INDEX('IDF Distributions'!$A$1:$AB$290,MATCH('Bulk Tool'!$A22,'IDF Distributions'!$A$1:$A$290,0),MATCH('Bulk Tool'!G$5,'IDF Distributions'!$A$1:$AB$1,0))*INDEX($N$5:$N$11,MATCH(G$6,$L$5:$L$11,0))*IF($E$2="Depth (mm)",(1),IF($E$2="Intensity (mm/hr)",12,0))</f>
        <v>0.89527388277443332</v>
      </c>
      <c r="H22" s="24">
        <f>INDEX('IDF Distributions'!$A$1:$AB$290,MATCH('Bulk Tool'!$A22,'IDF Distributions'!$A$1:$A$290,0),MATCH('Bulk Tool'!H$5,'IDF Distributions'!$A$1:$AB$1,0))*INDEX($N$5:$N$11,MATCH(H$6,$L$5:$L$11,0))*IF($E$2="Depth (mm)",(1),IF($E$2="Intensity (mm/hr)",12,0))</f>
        <v>1.0026533229525387</v>
      </c>
      <c r="I22" s="12" t="str">
        <f>IF(COUNTIF($H$7:H22,$H$7)&gt;1,"Do Not Copy","Copy")</f>
        <v>Copy</v>
      </c>
      <c r="L22"/>
      <c r="M22" s="2"/>
    </row>
    <row r="23" spans="1:13" x14ac:dyDescent="0.25">
      <c r="A23" s="128">
        <f t="shared" si="3"/>
        <v>5.5555555555555573E-2</v>
      </c>
      <c r="B23" s="24">
        <f>INDEX('IDF Distributions'!$A$1:$AB$290,MATCH('Bulk Tool'!$A23,'IDF Distributions'!$A$1:$A$290,0),MATCH('Bulk Tool'!B$5,'IDF Distributions'!$A$1:$AB$1,0))*INDEX($N$5:$N$11,MATCH(B$6,$L$5:$L$11,0))*IF($E$2="Depth (mm)",(1),IF($E$2="Intensity (mm/hr)",12,0))</f>
        <v>0.37902079997746746</v>
      </c>
      <c r="C23" s="24">
        <f>INDEX('IDF Distributions'!$A$1:$AB$290,MATCH('Bulk Tool'!$A23,'IDF Distributions'!$A$1:$A$290,0),MATCH('Bulk Tool'!C$5,'IDF Distributions'!$A$1:$AB$1,0))*INDEX($N$5:$N$11,MATCH(C$6,$L$5:$L$11,0))*IF($E$2="Depth (mm)",(1),IF($E$2="Intensity (mm/hr)",12,0))</f>
        <v>0.50541078779262272</v>
      </c>
      <c r="D23" s="24">
        <f>INDEX('IDF Distributions'!$A$1:$AB$290,MATCH('Bulk Tool'!$A23,'IDF Distributions'!$A$1:$A$290,0),MATCH('Bulk Tool'!D$5,'IDF Distributions'!$A$1:$AB$1,0))*INDEX($N$5:$N$11,MATCH(D$6,$L$5:$L$11,0))*IF($E$2="Depth (mm)",(1),IF($E$2="Intensity (mm/hr)",12,0))</f>
        <v>0.59515017151009608</v>
      </c>
      <c r="E23" s="24">
        <f>INDEX('IDF Distributions'!$A$1:$AB$290,MATCH('Bulk Tool'!$A23,'IDF Distributions'!$A$1:$A$290,0),MATCH('Bulk Tool'!E$5,'IDF Distributions'!$A$1:$AB$1,0))*INDEX($N$5:$N$11,MATCH(E$6,$L$5:$L$11,0))*IF($E$2="Depth (mm)",(1),IF($E$2="Intensity (mm/hr)",12,0))</f>
        <v>0.71869442071184675</v>
      </c>
      <c r="F23" s="24">
        <f>INDEX('IDF Distributions'!$A$1:$AB$290,MATCH('Bulk Tool'!$A23,'IDF Distributions'!$A$1:$A$290,0),MATCH('Bulk Tool'!F$5,'IDF Distributions'!$A$1:$AB$1,0))*INDEX($N$5:$N$11,MATCH(F$6,$L$5:$L$11,0))*IF($E$2="Depth (mm)",(1),IF($E$2="Intensity (mm/hr)",12,0))</f>
        <v>0.81620499462867024</v>
      </c>
      <c r="G23" s="24">
        <f>INDEX('IDF Distributions'!$A$1:$AB$290,MATCH('Bulk Tool'!$A23,'IDF Distributions'!$A$1:$A$290,0),MATCH('Bulk Tool'!G$5,'IDF Distributions'!$A$1:$AB$1,0))*INDEX($N$5:$N$11,MATCH(G$6,$L$5:$L$11,0))*IF($E$2="Depth (mm)",(1),IF($E$2="Intensity (mm/hr)",12,0))</f>
        <v>0.91930808096972116</v>
      </c>
      <c r="H23" s="24">
        <f>INDEX('IDF Distributions'!$A$1:$AB$290,MATCH('Bulk Tool'!$A23,'IDF Distributions'!$A$1:$A$290,0),MATCH('Bulk Tool'!H$5,'IDF Distributions'!$A$1:$AB$1,0))*INDEX($N$5:$N$11,MATCH(H$6,$L$5:$L$11,0))*IF($E$2="Depth (mm)",(1),IF($E$2="Intensity (mm/hr)",12,0))</f>
        <v>1.0295701906828096</v>
      </c>
      <c r="I23" s="12" t="str">
        <f>IF(COUNTIF($H$7:H23,$H$7)&gt;1,"Do Not Copy","Copy")</f>
        <v>Copy</v>
      </c>
      <c r="L23"/>
      <c r="M23" s="2"/>
    </row>
    <row r="24" spans="1:13" x14ac:dyDescent="0.25">
      <c r="A24" s="128">
        <f t="shared" si="3"/>
        <v>5.9027777777777797E-2</v>
      </c>
      <c r="B24" s="24">
        <f>INDEX('IDF Distributions'!$A$1:$AB$290,MATCH('Bulk Tool'!$A24,'IDF Distributions'!$A$1:$A$290,0),MATCH('Bulk Tool'!B$5,'IDF Distributions'!$A$1:$AB$1,0))*INDEX($N$5:$N$11,MATCH(B$6,$L$5:$L$11,0))*IF($E$2="Depth (mm)",(1),IF($E$2="Intensity (mm/hr)",12,0))</f>
        <v>0.38892984049975465</v>
      </c>
      <c r="C24" s="24">
        <f>INDEX('IDF Distributions'!$A$1:$AB$290,MATCH('Bulk Tool'!$A24,'IDF Distributions'!$A$1:$A$290,0),MATCH('Bulk Tool'!C$5,'IDF Distributions'!$A$1:$AB$1,0))*INDEX($N$5:$N$11,MATCH(C$6,$L$5:$L$11,0))*IF($E$2="Depth (mm)",(1),IF($E$2="Intensity (mm/hr)",12,0))</f>
        <v>0.51862414172184224</v>
      </c>
      <c r="D24" s="24">
        <f>INDEX('IDF Distributions'!$A$1:$AB$290,MATCH('Bulk Tool'!$A24,'IDF Distributions'!$A$1:$A$290,0),MATCH('Bulk Tool'!D$5,'IDF Distributions'!$A$1:$AB$1,0))*INDEX($N$5:$N$11,MATCH(D$6,$L$5:$L$11,0))*IF($E$2="Depth (mm)",(1),IF($E$2="Intensity (mm/hr)",12,0))</f>
        <v>0.61070965311820391</v>
      </c>
      <c r="E24" s="24">
        <f>INDEX('IDF Distributions'!$A$1:$AB$290,MATCH('Bulk Tool'!$A24,'IDF Distributions'!$A$1:$A$290,0),MATCH('Bulk Tool'!E$5,'IDF Distributions'!$A$1:$AB$1,0))*INDEX($N$5:$N$11,MATCH(E$6,$L$5:$L$11,0))*IF($E$2="Depth (mm)",(1),IF($E$2="Intensity (mm/hr)",12,0))</f>
        <v>0.73748381733176505</v>
      </c>
      <c r="F24" s="24">
        <f>INDEX('IDF Distributions'!$A$1:$AB$290,MATCH('Bulk Tool'!$A24,'IDF Distributions'!$A$1:$A$290,0),MATCH('Bulk Tool'!F$5,'IDF Distributions'!$A$1:$AB$1,0))*INDEX($N$5:$N$11,MATCH(F$6,$L$5:$L$11,0))*IF($E$2="Depth (mm)",(1),IF($E$2="Intensity (mm/hr)",12,0))</f>
        <v>0.83754368729870188</v>
      </c>
      <c r="G24" s="24">
        <f>INDEX('IDF Distributions'!$A$1:$AB$290,MATCH('Bulk Tool'!$A24,'IDF Distributions'!$A$1:$A$290,0),MATCH('Bulk Tool'!G$5,'IDF Distributions'!$A$1:$AB$1,0))*INDEX($N$5:$N$11,MATCH(G$6,$L$5:$L$11,0))*IF($E$2="Depth (mm)",(1),IF($E$2="Intensity (mm/hr)",12,0))</f>
        <v>0.94334227916500923</v>
      </c>
      <c r="H24" s="24">
        <f>INDEX('IDF Distributions'!$A$1:$AB$290,MATCH('Bulk Tool'!$A24,'IDF Distributions'!$A$1:$A$290,0),MATCH('Bulk Tool'!H$5,'IDF Distributions'!$A$1:$AB$1,0))*INDEX($N$5:$N$11,MATCH(H$6,$L$5:$L$11,0))*IF($E$2="Depth (mm)",(1),IF($E$2="Intensity (mm/hr)",12,0))</f>
        <v>1.0564870584130803</v>
      </c>
      <c r="I24" s="12" t="str">
        <f>IF(COUNTIF($H$7:H24,$H$7)&gt;1,"Do Not Copy","Copy")</f>
        <v>Copy</v>
      </c>
      <c r="L24"/>
      <c r="M24" s="2"/>
    </row>
    <row r="25" spans="1:13" x14ac:dyDescent="0.25">
      <c r="A25" s="128">
        <f t="shared" si="3"/>
        <v>6.2500000000000014E-2</v>
      </c>
      <c r="B25" s="24">
        <f>INDEX('IDF Distributions'!$A$1:$AB$290,MATCH('Bulk Tool'!$A25,'IDF Distributions'!$A$1:$A$290,0),MATCH('Bulk Tool'!B$5,'IDF Distributions'!$A$1:$AB$1,0))*INDEX($N$5:$N$11,MATCH(B$6,$L$5:$L$11,0))*IF($E$2="Depth (mm)",(1),IF($E$2="Intensity (mm/hr)",12,0))</f>
        <v>0.39140710063032608</v>
      </c>
      <c r="C25" s="24">
        <f>INDEX('IDF Distributions'!$A$1:$AB$290,MATCH('Bulk Tool'!$A25,'IDF Distributions'!$A$1:$A$290,0),MATCH('Bulk Tool'!C$5,'IDF Distributions'!$A$1:$AB$1,0))*INDEX($N$5:$N$11,MATCH(C$6,$L$5:$L$11,0))*IF($E$2="Depth (mm)",(1),IF($E$2="Intensity (mm/hr)",12,0))</f>
        <v>0.52192748020414659</v>
      </c>
      <c r="D25" s="24">
        <f>INDEX('IDF Distributions'!$A$1:$AB$290,MATCH('Bulk Tool'!$A25,'IDF Distributions'!$A$1:$A$290,0),MATCH('Bulk Tool'!D$5,'IDF Distributions'!$A$1:$AB$1,0))*INDEX($N$5:$N$11,MATCH(D$6,$L$5:$L$11,0))*IF($E$2="Depth (mm)",(1),IF($E$2="Intensity (mm/hr)",12,0))</f>
        <v>0.61459952352023017</v>
      </c>
      <c r="E25" s="24">
        <f>INDEX('IDF Distributions'!$A$1:$AB$290,MATCH('Bulk Tool'!$A25,'IDF Distributions'!$A$1:$A$290,0),MATCH('Bulk Tool'!E$5,'IDF Distributions'!$A$1:$AB$1,0))*INDEX($N$5:$N$11,MATCH(E$6,$L$5:$L$11,0))*IF($E$2="Depth (mm)",(1),IF($E$2="Intensity (mm/hr)",12,0))</f>
        <v>0.74218116648674404</v>
      </c>
      <c r="F25" s="24">
        <f>INDEX('IDF Distributions'!$A$1:$AB$290,MATCH('Bulk Tool'!$A25,'IDF Distributions'!$A$1:$A$290,0),MATCH('Bulk Tool'!F$5,'IDF Distributions'!$A$1:$AB$1,0))*INDEX($N$5:$N$11,MATCH(F$6,$L$5:$L$11,0))*IF($E$2="Depth (mm)",(1),IF($E$2="Intensity (mm/hr)",12,0))</f>
        <v>0.8428783604662089</v>
      </c>
      <c r="G25" s="24">
        <f>INDEX('IDF Distributions'!$A$1:$AB$290,MATCH('Bulk Tool'!$A25,'IDF Distributions'!$A$1:$A$290,0),MATCH('Bulk Tool'!G$5,'IDF Distributions'!$A$1:$AB$1,0))*INDEX($N$5:$N$11,MATCH(G$6,$L$5:$L$11,0))*IF($E$2="Depth (mm)",(1),IF($E$2="Intensity (mm/hr)",12,0))</f>
        <v>0.94935082871383025</v>
      </c>
      <c r="H25" s="24">
        <f>INDEX('IDF Distributions'!$A$1:$AB$290,MATCH('Bulk Tool'!$A25,'IDF Distributions'!$A$1:$A$290,0),MATCH('Bulk Tool'!H$5,'IDF Distributions'!$A$1:$AB$1,0))*INDEX($N$5:$N$11,MATCH(H$6,$L$5:$L$11,0))*IF($E$2="Depth (mm)",(1),IF($E$2="Intensity (mm/hr)",12,0))</f>
        <v>1.0632162753456469</v>
      </c>
      <c r="I25" s="12" t="str">
        <f>IF(COUNTIF($H$7:H25,$H$7)&gt;1,"Do Not Copy","Copy")</f>
        <v>Copy</v>
      </c>
      <c r="L25"/>
      <c r="M25" s="2"/>
    </row>
    <row r="26" spans="1:13" x14ac:dyDescent="0.25">
      <c r="A26" s="128">
        <f t="shared" si="3"/>
        <v>6.5972222222222238E-2</v>
      </c>
      <c r="B26" s="24">
        <f>INDEX('IDF Distributions'!$A$1:$AB$290,MATCH('Bulk Tool'!$A26,'IDF Distributions'!$A$1:$A$290,0),MATCH('Bulk Tool'!B$5,'IDF Distributions'!$A$1:$AB$1,0))*INDEX($N$5:$N$11,MATCH(B$6,$L$5:$L$11,0))*IF($E$2="Depth (mm)",(1),IF($E$2="Intensity (mm/hr)",12,0))</f>
        <v>0.37158901958575169</v>
      </c>
      <c r="C26" s="24">
        <f>INDEX('IDF Distributions'!$A$1:$AB$290,MATCH('Bulk Tool'!$A26,'IDF Distributions'!$A$1:$A$290,0),MATCH('Bulk Tool'!C$5,'IDF Distributions'!$A$1:$AB$1,0))*INDEX($N$5:$N$11,MATCH(C$6,$L$5:$L$11,0))*IF($E$2="Depth (mm)",(1),IF($E$2="Intensity (mm/hr)",12,0))</f>
        <v>0.49550077234570761</v>
      </c>
      <c r="D26" s="24">
        <f>INDEX('IDF Distributions'!$A$1:$AB$290,MATCH('Bulk Tool'!$A26,'IDF Distributions'!$A$1:$A$290,0),MATCH('Bulk Tool'!D$5,'IDF Distributions'!$A$1:$AB$1,0))*INDEX($N$5:$N$11,MATCH(D$6,$L$5:$L$11,0))*IF($E$2="Depth (mm)",(1),IF($E$2="Intensity (mm/hr)",12,0))</f>
        <v>0.58348056030401463</v>
      </c>
      <c r="E26" s="24">
        <f>INDEX('IDF Distributions'!$A$1:$AB$290,MATCH('Bulk Tool'!$A26,'IDF Distributions'!$A$1:$A$290,0),MATCH('Bulk Tool'!E$5,'IDF Distributions'!$A$1:$AB$1,0))*INDEX($N$5:$N$11,MATCH(E$6,$L$5:$L$11,0))*IF($E$2="Depth (mm)",(1),IF($E$2="Intensity (mm/hr)",12,0))</f>
        <v>0.70460237324690711</v>
      </c>
      <c r="F26" s="24">
        <f>INDEX('IDF Distributions'!$A$1:$AB$290,MATCH('Bulk Tool'!$A26,'IDF Distributions'!$A$1:$A$290,0),MATCH('Bulk Tool'!F$5,'IDF Distributions'!$A$1:$AB$1,0))*INDEX($N$5:$N$11,MATCH(F$6,$L$5:$L$11,0))*IF($E$2="Depth (mm)",(1),IF($E$2="Intensity (mm/hr)",12,0))</f>
        <v>0.80020097512614585</v>
      </c>
      <c r="G26" s="24">
        <f>INDEX('IDF Distributions'!$A$1:$AB$290,MATCH('Bulk Tool'!$A26,'IDF Distributions'!$A$1:$A$290,0),MATCH('Bulk Tool'!G$5,'IDF Distributions'!$A$1:$AB$1,0))*INDEX($N$5:$N$11,MATCH(G$6,$L$5:$L$11,0))*IF($E$2="Depth (mm)",(1),IF($E$2="Intensity (mm/hr)",12,0))</f>
        <v>0.90128243232325433</v>
      </c>
      <c r="H26" s="24">
        <f>INDEX('IDF Distributions'!$A$1:$AB$290,MATCH('Bulk Tool'!$A26,'IDF Distributions'!$A$1:$A$290,0),MATCH('Bulk Tool'!H$5,'IDF Distributions'!$A$1:$AB$1,0))*INDEX($N$5:$N$11,MATCH(H$6,$L$5:$L$11,0))*IF($E$2="Depth (mm)",(1),IF($E$2="Intensity (mm/hr)",12,0))</f>
        <v>1.0093825398851055</v>
      </c>
      <c r="I26" s="12" t="str">
        <f>IF(COUNTIF($H$7:H26,$H$7)&gt;1,"Do Not Copy","Copy")</f>
        <v>Copy</v>
      </c>
      <c r="L26"/>
      <c r="M26" s="2"/>
    </row>
    <row r="27" spans="1:13" x14ac:dyDescent="0.25">
      <c r="A27" s="128">
        <f t="shared" si="3"/>
        <v>6.9444444444444461E-2</v>
      </c>
      <c r="B27" s="24">
        <f>INDEX('IDF Distributions'!$A$1:$AB$290,MATCH('Bulk Tool'!$A27,'IDF Distributions'!$A$1:$A$290,0),MATCH('Bulk Tool'!B$5,'IDF Distributions'!$A$1:$AB$1,0))*INDEX($N$5:$N$11,MATCH(B$6,$L$5:$L$11,0))*IF($E$2="Depth (mm)",(1),IF($E$2="Intensity (mm/hr)",12,0))</f>
        <v>0.37158901958575274</v>
      </c>
      <c r="C27" s="24">
        <f>INDEX('IDF Distributions'!$A$1:$AB$290,MATCH('Bulk Tool'!$A27,'IDF Distributions'!$A$1:$A$290,0),MATCH('Bulk Tool'!C$5,'IDF Distributions'!$A$1:$AB$1,0))*INDEX($N$5:$N$11,MATCH(C$6,$L$5:$L$11,0))*IF($E$2="Depth (mm)",(1),IF($E$2="Intensity (mm/hr)",12,0))</f>
        <v>0.49550077234570894</v>
      </c>
      <c r="D27" s="24">
        <f>INDEX('IDF Distributions'!$A$1:$AB$290,MATCH('Bulk Tool'!$A27,'IDF Distributions'!$A$1:$A$290,0),MATCH('Bulk Tool'!D$5,'IDF Distributions'!$A$1:$AB$1,0))*INDEX($N$5:$N$11,MATCH(D$6,$L$5:$L$11,0))*IF($E$2="Depth (mm)",(1),IF($E$2="Intensity (mm/hr)",12,0))</f>
        <v>0.58348056030401629</v>
      </c>
      <c r="E27" s="24">
        <f>INDEX('IDF Distributions'!$A$1:$AB$290,MATCH('Bulk Tool'!$A27,'IDF Distributions'!$A$1:$A$290,0),MATCH('Bulk Tool'!E$5,'IDF Distributions'!$A$1:$AB$1,0))*INDEX($N$5:$N$11,MATCH(E$6,$L$5:$L$11,0))*IF($E$2="Depth (mm)",(1),IF($E$2="Intensity (mm/hr)",12,0))</f>
        <v>0.70460237324690911</v>
      </c>
      <c r="F27" s="24">
        <f>INDEX('IDF Distributions'!$A$1:$AB$290,MATCH('Bulk Tool'!$A27,'IDF Distributions'!$A$1:$A$290,0),MATCH('Bulk Tool'!F$5,'IDF Distributions'!$A$1:$AB$1,0))*INDEX($N$5:$N$11,MATCH(F$6,$L$5:$L$11,0))*IF($E$2="Depth (mm)",(1),IF($E$2="Intensity (mm/hr)",12,0))</f>
        <v>0.80020097512614796</v>
      </c>
      <c r="G27" s="24">
        <f>INDEX('IDF Distributions'!$A$1:$AB$290,MATCH('Bulk Tool'!$A27,'IDF Distributions'!$A$1:$A$290,0),MATCH('Bulk Tool'!G$5,'IDF Distributions'!$A$1:$AB$1,0))*INDEX($N$5:$N$11,MATCH(G$6,$L$5:$L$11,0))*IF($E$2="Depth (mm)",(1),IF($E$2="Intensity (mm/hr)",12,0))</f>
        <v>0.90128243232325689</v>
      </c>
      <c r="H27" s="24">
        <f>INDEX('IDF Distributions'!$A$1:$AB$290,MATCH('Bulk Tool'!$A27,'IDF Distributions'!$A$1:$A$290,0),MATCH('Bulk Tool'!H$5,'IDF Distributions'!$A$1:$AB$1,0))*INDEX($N$5:$N$11,MATCH(H$6,$L$5:$L$11,0))*IF($E$2="Depth (mm)",(1),IF($E$2="Intensity (mm/hr)",12,0))</f>
        <v>1.0093825398851084</v>
      </c>
      <c r="I27" s="12" t="str">
        <f>IF(COUNTIF($H$7:H27,$H$7)&gt;1,"Do Not Copy","Copy")</f>
        <v>Copy</v>
      </c>
      <c r="L27"/>
      <c r="M27" s="2"/>
    </row>
    <row r="28" spans="1:13" x14ac:dyDescent="0.25">
      <c r="A28" s="128">
        <f t="shared" si="3"/>
        <v>7.2916666666666685E-2</v>
      </c>
      <c r="B28" s="24">
        <f>INDEX('IDF Distributions'!$A$1:$AB$290,MATCH('Bulk Tool'!$A28,'IDF Distributions'!$A$1:$A$290,0),MATCH('Bulk Tool'!B$5,'IDF Distributions'!$A$1:$AB$1,0))*INDEX($N$5:$N$11,MATCH(B$6,$L$5:$L$11,0))*IF($E$2="Depth (mm)",(1),IF($E$2="Intensity (mm/hr)",12,0))</f>
        <v>0.36167997906346605</v>
      </c>
      <c r="C28" s="24">
        <f>INDEX('IDF Distributions'!$A$1:$AB$290,MATCH('Bulk Tool'!$A28,'IDF Distributions'!$A$1:$A$290,0),MATCH('Bulk Tool'!C$5,'IDF Distributions'!$A$1:$AB$1,0))*INDEX($N$5:$N$11,MATCH(C$6,$L$5:$L$11,0))*IF($E$2="Depth (mm)",(1),IF($E$2="Intensity (mm/hr)",12,0))</f>
        <v>0.48228741841649014</v>
      </c>
      <c r="D28" s="24">
        <f>INDEX('IDF Distributions'!$A$1:$AB$290,MATCH('Bulk Tool'!$A28,'IDF Distributions'!$A$1:$A$290,0),MATCH('Bulk Tool'!D$5,'IDF Distributions'!$A$1:$AB$1,0))*INDEX($N$5:$N$11,MATCH(D$6,$L$5:$L$11,0))*IF($E$2="Depth (mm)",(1),IF($E$2="Intensity (mm/hr)",12,0))</f>
        <v>0.56792107869590924</v>
      </c>
      <c r="E28" s="24">
        <f>INDEX('IDF Distributions'!$A$1:$AB$290,MATCH('Bulk Tool'!$A28,'IDF Distributions'!$A$1:$A$290,0),MATCH('Bulk Tool'!E$5,'IDF Distributions'!$A$1:$AB$1,0))*INDEX($N$5:$N$11,MATCH(E$6,$L$5:$L$11,0))*IF($E$2="Depth (mm)",(1),IF($E$2="Intensity (mm/hr)",12,0))</f>
        <v>0.6858129766269917</v>
      </c>
      <c r="F28" s="24">
        <f>INDEX('IDF Distributions'!$A$1:$AB$290,MATCH('Bulk Tool'!$A28,'IDF Distributions'!$A$1:$A$290,0),MATCH('Bulk Tool'!F$5,'IDF Distributions'!$A$1:$AB$1,0))*INDEX($N$5:$N$11,MATCH(F$6,$L$5:$L$11,0))*IF($E$2="Depth (mm)",(1),IF($E$2="Intensity (mm/hr)",12,0))</f>
        <v>0.77886228245611755</v>
      </c>
      <c r="G28" s="24">
        <f>INDEX('IDF Distributions'!$A$1:$AB$290,MATCH('Bulk Tool'!$A28,'IDF Distributions'!$A$1:$A$290,0),MATCH('Bulk Tool'!G$5,'IDF Distributions'!$A$1:$AB$1,0))*INDEX($N$5:$N$11,MATCH(G$6,$L$5:$L$11,0))*IF($E$2="Depth (mm)",(1),IF($E$2="Intensity (mm/hr)",12,0))</f>
        <v>0.87724823412797015</v>
      </c>
      <c r="H28" s="24">
        <f>INDEX('IDF Distributions'!$A$1:$AB$290,MATCH('Bulk Tool'!$A28,'IDF Distributions'!$A$1:$A$290,0),MATCH('Bulk Tool'!H$5,'IDF Distributions'!$A$1:$AB$1,0))*INDEX($N$5:$N$11,MATCH(H$6,$L$5:$L$11,0))*IF($E$2="Depth (mm)",(1),IF($E$2="Intensity (mm/hr)",12,0))</f>
        <v>0.98246567215483893</v>
      </c>
      <c r="I28" s="12" t="str">
        <f>IF(COUNTIF($H$7:H28,$H$7)&gt;1,"Do Not Copy","Copy")</f>
        <v>Copy</v>
      </c>
      <c r="L28"/>
      <c r="M28" s="2"/>
    </row>
    <row r="29" spans="1:13" x14ac:dyDescent="0.25">
      <c r="A29" s="128">
        <f t="shared" si="3"/>
        <v>7.6388888888888909E-2</v>
      </c>
      <c r="B29" s="24">
        <f>INDEX('IDF Distributions'!$A$1:$AB$290,MATCH('Bulk Tool'!$A29,'IDF Distributions'!$A$1:$A$290,0),MATCH('Bulk Tool'!B$5,'IDF Distributions'!$A$1:$AB$1,0))*INDEX($N$5:$N$11,MATCH(B$6,$L$5:$L$11,0))*IF($E$2="Depth (mm)",(1),IF($E$2="Intensity (mm/hr)",12,0))</f>
        <v>0.37406627971632411</v>
      </c>
      <c r="C29" s="24">
        <f>INDEX('IDF Distributions'!$A$1:$AB$290,MATCH('Bulk Tool'!$A29,'IDF Distributions'!$A$1:$A$290,0),MATCH('Bulk Tool'!C$5,'IDF Distributions'!$A$1:$AB$1,0))*INDEX($N$5:$N$11,MATCH(C$6,$L$5:$L$11,0))*IF($E$2="Depth (mm)",(1),IF($E$2="Intensity (mm/hr)",12,0))</f>
        <v>0.49880411082801335</v>
      </c>
      <c r="D29" s="24">
        <f>INDEX('IDF Distributions'!$A$1:$AB$290,MATCH('Bulk Tool'!$A29,'IDF Distributions'!$A$1:$A$290,0),MATCH('Bulk Tool'!D$5,'IDF Distributions'!$A$1:$AB$1,0))*INDEX($N$5:$N$11,MATCH(D$6,$L$5:$L$11,0))*IF($E$2="Depth (mm)",(1),IF($E$2="Intensity (mm/hr)",12,0))</f>
        <v>0.58737043070604256</v>
      </c>
      <c r="E29" s="24">
        <f>INDEX('IDF Distributions'!$A$1:$AB$290,MATCH('Bulk Tool'!$A29,'IDF Distributions'!$A$1:$A$290,0),MATCH('Bulk Tool'!E$5,'IDF Distributions'!$A$1:$AB$1,0))*INDEX($N$5:$N$11,MATCH(E$6,$L$5:$L$11,0))*IF($E$2="Depth (mm)",(1),IF($E$2="Intensity (mm/hr)",12,0))</f>
        <v>0.70929972240188799</v>
      </c>
      <c r="F29" s="24">
        <f>INDEX('IDF Distributions'!$A$1:$AB$290,MATCH('Bulk Tool'!$A29,'IDF Distributions'!$A$1:$A$290,0),MATCH('Bulk Tool'!F$5,'IDF Distributions'!$A$1:$AB$1,0))*INDEX($N$5:$N$11,MATCH(F$6,$L$5:$L$11,0))*IF($E$2="Depth (mm)",(1),IF($E$2="Intensity (mm/hr)",12,0))</f>
        <v>0.80553564829365509</v>
      </c>
      <c r="G29" s="24">
        <f>INDEX('IDF Distributions'!$A$1:$AB$290,MATCH('Bulk Tool'!$A29,'IDF Distributions'!$A$1:$A$290,0),MATCH('Bulk Tool'!G$5,'IDF Distributions'!$A$1:$AB$1,0))*INDEX($N$5:$N$11,MATCH(G$6,$L$5:$L$11,0))*IF($E$2="Depth (mm)",(1),IF($E$2="Intensity (mm/hr)",12,0))</f>
        <v>0.90729098187207791</v>
      </c>
      <c r="H29" s="24">
        <f>INDEX('IDF Distributions'!$A$1:$AB$290,MATCH('Bulk Tool'!$A29,'IDF Distributions'!$A$1:$A$290,0),MATCH('Bulk Tool'!H$5,'IDF Distributions'!$A$1:$AB$1,0))*INDEX($N$5:$N$11,MATCH(H$6,$L$5:$L$11,0))*IF($E$2="Depth (mm)",(1),IF($E$2="Intensity (mm/hr)",12,0))</f>
        <v>1.016111756817675</v>
      </c>
      <c r="I29" s="12" t="str">
        <f>IF(COUNTIF($H$7:H29,$H$7)&gt;1,"Do Not Copy","Copy")</f>
        <v>Copy</v>
      </c>
      <c r="L29"/>
      <c r="M29" s="2"/>
    </row>
    <row r="30" spans="1:13" x14ac:dyDescent="0.25">
      <c r="A30" s="128">
        <f t="shared" si="3"/>
        <v>7.9861111111111133E-2</v>
      </c>
      <c r="B30" s="24">
        <f>INDEX('IDF Distributions'!$A$1:$AB$290,MATCH('Bulk Tool'!$A30,'IDF Distributions'!$A$1:$A$290,0),MATCH('Bulk Tool'!B$5,'IDF Distributions'!$A$1:$AB$1,0))*INDEX($N$5:$N$11,MATCH(B$6,$L$5:$L$11,0))*IF($E$2="Depth (mm)",(1),IF($E$2="Intensity (mm/hr)",12,0))</f>
        <v>0.37902079997746696</v>
      </c>
      <c r="C30" s="24">
        <f>INDEX('IDF Distributions'!$A$1:$AB$290,MATCH('Bulk Tool'!$A30,'IDF Distributions'!$A$1:$A$290,0),MATCH('Bulk Tool'!C$5,'IDF Distributions'!$A$1:$AB$1,0))*INDEX($N$5:$N$11,MATCH(C$6,$L$5:$L$11,0))*IF($E$2="Depth (mm)",(1),IF($E$2="Intensity (mm/hr)",12,0))</f>
        <v>0.50541078779262205</v>
      </c>
      <c r="D30" s="24">
        <f>INDEX('IDF Distributions'!$A$1:$AB$290,MATCH('Bulk Tool'!$A30,'IDF Distributions'!$A$1:$A$290,0),MATCH('Bulk Tool'!D$5,'IDF Distributions'!$A$1:$AB$1,0))*INDEX($N$5:$N$11,MATCH(D$6,$L$5:$L$11,0))*IF($E$2="Depth (mm)",(1),IF($E$2="Intensity (mm/hr)",12,0))</f>
        <v>0.5951501715100953</v>
      </c>
      <c r="E30" s="24">
        <f>INDEX('IDF Distributions'!$A$1:$AB$290,MATCH('Bulk Tool'!$A30,'IDF Distributions'!$A$1:$A$290,0),MATCH('Bulk Tool'!E$5,'IDF Distributions'!$A$1:$AB$1,0))*INDEX($N$5:$N$11,MATCH(E$6,$L$5:$L$11,0))*IF($E$2="Depth (mm)",(1),IF($E$2="Intensity (mm/hr)",12,0))</f>
        <v>0.71869442071184575</v>
      </c>
      <c r="F30" s="24">
        <f>INDEX('IDF Distributions'!$A$1:$AB$290,MATCH('Bulk Tool'!$A30,'IDF Distributions'!$A$1:$A$290,0),MATCH('Bulk Tool'!F$5,'IDF Distributions'!$A$1:$AB$1,0))*INDEX($N$5:$N$11,MATCH(F$6,$L$5:$L$11,0))*IF($E$2="Depth (mm)",(1),IF($E$2="Intensity (mm/hr)",12,0))</f>
        <v>0.81620499462866913</v>
      </c>
      <c r="G30" s="24">
        <f>INDEX('IDF Distributions'!$A$1:$AB$290,MATCH('Bulk Tool'!$A30,'IDF Distributions'!$A$1:$A$290,0),MATCH('Bulk Tool'!G$5,'IDF Distributions'!$A$1:$AB$1,0))*INDEX($N$5:$N$11,MATCH(G$6,$L$5:$L$11,0))*IF($E$2="Depth (mm)",(1),IF($E$2="Intensity (mm/hr)",12,0))</f>
        <v>0.91930808096972005</v>
      </c>
      <c r="H30" s="24">
        <f>INDEX('IDF Distributions'!$A$1:$AB$290,MATCH('Bulk Tool'!$A30,'IDF Distributions'!$A$1:$A$290,0),MATCH('Bulk Tool'!H$5,'IDF Distributions'!$A$1:$AB$1,0))*INDEX($N$5:$N$11,MATCH(H$6,$L$5:$L$11,0))*IF($E$2="Depth (mm)",(1),IF($E$2="Intensity (mm/hr)",12,0))</f>
        <v>1.0295701906828083</v>
      </c>
      <c r="I30" s="12" t="str">
        <f>IF(COUNTIF($H$7:H30,$H$7)&gt;1,"Do Not Copy","Copy")</f>
        <v>Copy</v>
      </c>
      <c r="L30"/>
      <c r="M30" s="2"/>
    </row>
    <row r="31" spans="1:13" x14ac:dyDescent="0.25">
      <c r="A31" s="128">
        <f t="shared" si="3"/>
        <v>8.3333333333333356E-2</v>
      </c>
      <c r="B31" s="24">
        <f>INDEX('IDF Distributions'!$A$1:$AB$290,MATCH('Bulk Tool'!$A31,'IDF Distributions'!$A$1:$A$290,0),MATCH('Bulk Tool'!B$5,'IDF Distributions'!$A$1:$AB$1,0))*INDEX($N$5:$N$11,MATCH(B$6,$L$5:$L$11,0))*IF($E$2="Depth (mm)",(1),IF($E$2="Intensity (mm/hr)",12,0))</f>
        <v>0.37406627971632411</v>
      </c>
      <c r="C31" s="24">
        <f>INDEX('IDF Distributions'!$A$1:$AB$290,MATCH('Bulk Tool'!$A31,'IDF Distributions'!$A$1:$A$290,0),MATCH('Bulk Tool'!C$5,'IDF Distributions'!$A$1:$AB$1,0))*INDEX($N$5:$N$11,MATCH(C$6,$L$5:$L$11,0))*IF($E$2="Depth (mm)",(1),IF($E$2="Intensity (mm/hr)",12,0))</f>
        <v>0.49880411082801335</v>
      </c>
      <c r="D31" s="24">
        <f>INDEX('IDF Distributions'!$A$1:$AB$290,MATCH('Bulk Tool'!$A31,'IDF Distributions'!$A$1:$A$290,0),MATCH('Bulk Tool'!D$5,'IDF Distributions'!$A$1:$AB$1,0))*INDEX($N$5:$N$11,MATCH(D$6,$L$5:$L$11,0))*IF($E$2="Depth (mm)",(1),IF($E$2="Intensity (mm/hr)",12,0))</f>
        <v>0.58737043070604256</v>
      </c>
      <c r="E31" s="24">
        <f>INDEX('IDF Distributions'!$A$1:$AB$290,MATCH('Bulk Tool'!$A31,'IDF Distributions'!$A$1:$A$290,0),MATCH('Bulk Tool'!E$5,'IDF Distributions'!$A$1:$AB$1,0))*INDEX($N$5:$N$11,MATCH(E$6,$L$5:$L$11,0))*IF($E$2="Depth (mm)",(1),IF($E$2="Intensity (mm/hr)",12,0))</f>
        <v>0.70929972240188799</v>
      </c>
      <c r="F31" s="24">
        <f>INDEX('IDF Distributions'!$A$1:$AB$290,MATCH('Bulk Tool'!$A31,'IDF Distributions'!$A$1:$A$290,0),MATCH('Bulk Tool'!F$5,'IDF Distributions'!$A$1:$AB$1,0))*INDEX($N$5:$N$11,MATCH(F$6,$L$5:$L$11,0))*IF($E$2="Depth (mm)",(1),IF($E$2="Intensity (mm/hr)",12,0))</f>
        <v>0.80553564829365509</v>
      </c>
      <c r="G31" s="24">
        <f>INDEX('IDF Distributions'!$A$1:$AB$290,MATCH('Bulk Tool'!$A31,'IDF Distributions'!$A$1:$A$290,0),MATCH('Bulk Tool'!G$5,'IDF Distributions'!$A$1:$AB$1,0))*INDEX($N$5:$N$11,MATCH(G$6,$L$5:$L$11,0))*IF($E$2="Depth (mm)",(1),IF($E$2="Intensity (mm/hr)",12,0))</f>
        <v>0.90729098187207791</v>
      </c>
      <c r="H31" s="24">
        <f>INDEX('IDF Distributions'!$A$1:$AB$290,MATCH('Bulk Tool'!$A31,'IDF Distributions'!$A$1:$A$290,0),MATCH('Bulk Tool'!H$5,'IDF Distributions'!$A$1:$AB$1,0))*INDEX($N$5:$N$11,MATCH(H$6,$L$5:$L$11,0))*IF($E$2="Depth (mm)",(1),IF($E$2="Intensity (mm/hr)",12,0))</f>
        <v>1.016111756817675</v>
      </c>
      <c r="I31" s="12" t="str">
        <f>IF(COUNTIF($H$7:H31,$H$7)&gt;1,"Do Not Copy","Copy")</f>
        <v>Copy</v>
      </c>
      <c r="L31"/>
      <c r="M31" s="2"/>
    </row>
    <row r="32" spans="1:13" x14ac:dyDescent="0.25">
      <c r="A32" s="128">
        <f t="shared" si="3"/>
        <v>8.680555555555558E-2</v>
      </c>
      <c r="B32" s="24">
        <f>INDEX('IDF Distributions'!$A$1:$AB$290,MATCH('Bulk Tool'!$A32,'IDF Distributions'!$A$1:$A$290,0),MATCH('Bulk Tool'!B$5,'IDF Distributions'!$A$1:$AB$1,0))*INDEX($N$5:$N$11,MATCH(B$6,$L$5:$L$11,0))*IF($E$2="Depth (mm)",(1),IF($E$2="Intensity (mm/hr)",12,0))</f>
        <v>0.38397532023861081</v>
      </c>
      <c r="C32" s="24">
        <f>INDEX('IDF Distributions'!$A$1:$AB$290,MATCH('Bulk Tool'!$A32,'IDF Distributions'!$A$1:$A$290,0),MATCH('Bulk Tool'!C$5,'IDF Distributions'!$A$1:$AB$1,0))*INDEX($N$5:$N$11,MATCH(C$6,$L$5:$L$11,0))*IF($E$2="Depth (mm)",(1),IF($E$2="Intensity (mm/hr)",12,0))</f>
        <v>0.5120174647572322</v>
      </c>
      <c r="D32" s="24">
        <f>INDEX('IDF Distributions'!$A$1:$AB$290,MATCH('Bulk Tool'!$A32,'IDF Distributions'!$A$1:$A$290,0),MATCH('Bulk Tool'!D$5,'IDF Distributions'!$A$1:$AB$1,0))*INDEX($N$5:$N$11,MATCH(D$6,$L$5:$L$11,0))*IF($E$2="Depth (mm)",(1),IF($E$2="Intensity (mm/hr)",12,0))</f>
        <v>0.60292991231414961</v>
      </c>
      <c r="E32" s="24">
        <f>INDEX('IDF Distributions'!$A$1:$AB$290,MATCH('Bulk Tool'!$A32,'IDF Distributions'!$A$1:$A$290,0),MATCH('Bulk Tool'!E$5,'IDF Distributions'!$A$1:$AB$1,0))*INDEX($N$5:$N$11,MATCH(E$6,$L$5:$L$11,0))*IF($E$2="Depth (mm)",(1),IF($E$2="Intensity (mm/hr)",12,0))</f>
        <v>0.72808911902180551</v>
      </c>
      <c r="F32" s="24">
        <f>INDEX('IDF Distributions'!$A$1:$AB$290,MATCH('Bulk Tool'!$A32,'IDF Distributions'!$A$1:$A$290,0),MATCH('Bulk Tool'!F$5,'IDF Distributions'!$A$1:$AB$1,0))*INDEX($N$5:$N$11,MATCH(F$6,$L$5:$L$11,0))*IF($E$2="Depth (mm)",(1),IF($E$2="Intensity (mm/hr)",12,0))</f>
        <v>0.82687434096368551</v>
      </c>
      <c r="G32" s="24">
        <f>INDEX('IDF Distributions'!$A$1:$AB$290,MATCH('Bulk Tool'!$A32,'IDF Distributions'!$A$1:$A$290,0),MATCH('Bulk Tool'!G$5,'IDF Distributions'!$A$1:$AB$1,0))*INDEX($N$5:$N$11,MATCH(G$6,$L$5:$L$11,0))*IF($E$2="Depth (mm)",(1),IF($E$2="Intensity (mm/hr)",12,0))</f>
        <v>0.93132518006736453</v>
      </c>
      <c r="H32" s="24">
        <f>INDEX('IDF Distributions'!$A$1:$AB$290,MATCH('Bulk Tool'!$A32,'IDF Distributions'!$A$1:$A$290,0),MATCH('Bulk Tool'!H$5,'IDF Distributions'!$A$1:$AB$1,0))*INDEX($N$5:$N$11,MATCH(H$6,$L$5:$L$11,0))*IF($E$2="Depth (mm)",(1),IF($E$2="Intensity (mm/hr)",12,0))</f>
        <v>1.0430286245479443</v>
      </c>
      <c r="I32" s="12" t="str">
        <f>IF(COUNTIF($H$7:H32,$H$7)&gt;1,"Do Not Copy","Copy")</f>
        <v>Copy</v>
      </c>
      <c r="L32"/>
      <c r="M32" s="2"/>
    </row>
    <row r="33" spans="1:13" x14ac:dyDescent="0.25">
      <c r="A33" s="128">
        <f t="shared" si="3"/>
        <v>9.0277777777777804E-2</v>
      </c>
      <c r="B33" s="24">
        <f>INDEX('IDF Distributions'!$A$1:$AB$290,MATCH('Bulk Tool'!$A33,'IDF Distributions'!$A$1:$A$290,0),MATCH('Bulk Tool'!B$5,'IDF Distributions'!$A$1:$AB$1,0))*INDEX($N$5:$N$11,MATCH(B$6,$L$5:$L$11,0))*IF($E$2="Depth (mm)",(1),IF($E$2="Intensity (mm/hr)",12,0))</f>
        <v>0.39636162089146992</v>
      </c>
      <c r="C33" s="24">
        <f>INDEX('IDF Distributions'!$A$1:$AB$290,MATCH('Bulk Tool'!$A33,'IDF Distributions'!$A$1:$A$290,0),MATCH('Bulk Tool'!C$5,'IDF Distributions'!$A$1:$AB$1,0))*INDEX($N$5:$N$11,MATCH(C$6,$L$5:$L$11,0))*IF($E$2="Depth (mm)",(1),IF($E$2="Intensity (mm/hr)",12,0))</f>
        <v>0.52853415716875674</v>
      </c>
      <c r="D33" s="24">
        <f>INDEX('IDF Distributions'!$A$1:$AB$290,MATCH('Bulk Tool'!$A33,'IDF Distributions'!$A$1:$A$290,0),MATCH('Bulk Tool'!D$5,'IDF Distributions'!$A$1:$AB$1,0))*INDEX($N$5:$N$11,MATCH(D$6,$L$5:$L$11,0))*IF($E$2="Depth (mm)",(1),IF($E$2="Intensity (mm/hr)",12,0))</f>
        <v>0.62237926432428448</v>
      </c>
      <c r="E33" s="24">
        <f>INDEX('IDF Distributions'!$A$1:$AB$290,MATCH('Bulk Tool'!$A33,'IDF Distributions'!$A$1:$A$290,0),MATCH('Bulk Tool'!E$5,'IDF Distributions'!$A$1:$AB$1,0))*INDEX($N$5:$N$11,MATCH(E$6,$L$5:$L$11,0))*IF($E$2="Depth (mm)",(1),IF($E$2="Intensity (mm/hr)",12,0))</f>
        <v>0.75157586479670369</v>
      </c>
      <c r="F33" s="24">
        <f>INDEX('IDF Distributions'!$A$1:$AB$290,MATCH('Bulk Tool'!$A33,'IDF Distributions'!$A$1:$A$290,0),MATCH('Bulk Tool'!F$5,'IDF Distributions'!$A$1:$AB$1,0))*INDEX($N$5:$N$11,MATCH(F$6,$L$5:$L$11,0))*IF($E$2="Depth (mm)",(1),IF($E$2="Intensity (mm/hr)",12,0))</f>
        <v>0.85354770680122516</v>
      </c>
      <c r="G33" s="24">
        <f>INDEX('IDF Distributions'!$A$1:$AB$290,MATCH('Bulk Tool'!$A33,'IDF Distributions'!$A$1:$A$290,0),MATCH('Bulk Tool'!G$5,'IDF Distributions'!$A$1:$AB$1,0))*INDEX($N$5:$N$11,MATCH(G$6,$L$5:$L$11,0))*IF($E$2="Depth (mm)",(1),IF($E$2="Intensity (mm/hr)",12,0))</f>
        <v>0.96136792781147473</v>
      </c>
      <c r="H33" s="24">
        <f>INDEX('IDF Distributions'!$A$1:$AB$290,MATCH('Bulk Tool'!$A33,'IDF Distributions'!$A$1:$A$290,0),MATCH('Bulk Tool'!H$5,'IDF Distributions'!$A$1:$AB$1,0))*INDEX($N$5:$N$11,MATCH(H$6,$L$5:$L$11,0))*IF($E$2="Depth (mm)",(1),IF($E$2="Intensity (mm/hr)",12,0))</f>
        <v>1.0766747092107831</v>
      </c>
      <c r="I33" s="12" t="str">
        <f>IF(COUNTIF($H$7:H33,$H$7)&gt;1,"Do Not Copy","Copy")</f>
        <v>Copy</v>
      </c>
      <c r="L33"/>
      <c r="M33" s="2"/>
    </row>
    <row r="34" spans="1:13" x14ac:dyDescent="0.25">
      <c r="A34" s="128">
        <f t="shared" si="3"/>
        <v>9.3750000000000028E-2</v>
      </c>
      <c r="B34" s="24">
        <f>INDEX('IDF Distributions'!$A$1:$AB$290,MATCH('Bulk Tool'!$A34,'IDF Distributions'!$A$1:$A$290,0),MATCH('Bulk Tool'!B$5,'IDF Distributions'!$A$1:$AB$1,0))*INDEX($N$5:$N$11,MATCH(B$6,$L$5:$L$11,0))*IF($E$2="Depth (mm)",(1),IF($E$2="Intensity (mm/hr)",12,0))</f>
        <v>0.39636162089146787</v>
      </c>
      <c r="C34" s="24">
        <f>INDEX('IDF Distributions'!$A$1:$AB$290,MATCH('Bulk Tool'!$A34,'IDF Distributions'!$A$1:$A$290,0),MATCH('Bulk Tool'!C$5,'IDF Distributions'!$A$1:$AB$1,0))*INDEX($N$5:$N$11,MATCH(C$6,$L$5:$L$11,0))*IF($E$2="Depth (mm)",(1),IF($E$2="Intensity (mm/hr)",12,0))</f>
        <v>0.52853415716875396</v>
      </c>
      <c r="D34" s="24">
        <f>INDEX('IDF Distributions'!$A$1:$AB$290,MATCH('Bulk Tool'!$A34,'IDF Distributions'!$A$1:$A$290,0),MATCH('Bulk Tool'!D$5,'IDF Distributions'!$A$1:$AB$1,0))*INDEX($N$5:$N$11,MATCH(D$6,$L$5:$L$11,0))*IF($E$2="Depth (mm)",(1),IF($E$2="Intensity (mm/hr)",12,0))</f>
        <v>0.62237926432428126</v>
      </c>
      <c r="E34" s="24">
        <f>INDEX('IDF Distributions'!$A$1:$AB$290,MATCH('Bulk Tool'!$A34,'IDF Distributions'!$A$1:$A$290,0),MATCH('Bulk Tool'!E$5,'IDF Distributions'!$A$1:$AB$1,0))*INDEX($N$5:$N$11,MATCH(E$6,$L$5:$L$11,0))*IF($E$2="Depth (mm)",(1),IF($E$2="Intensity (mm/hr)",12,0))</f>
        <v>0.75157586479669969</v>
      </c>
      <c r="F34" s="24">
        <f>INDEX('IDF Distributions'!$A$1:$AB$290,MATCH('Bulk Tool'!$A34,'IDF Distributions'!$A$1:$A$290,0),MATCH('Bulk Tool'!F$5,'IDF Distributions'!$A$1:$AB$1,0))*INDEX($N$5:$N$11,MATCH(F$6,$L$5:$L$11,0))*IF($E$2="Depth (mm)",(1),IF($E$2="Intensity (mm/hr)",12,0))</f>
        <v>0.85354770680122072</v>
      </c>
      <c r="G34" s="24">
        <f>INDEX('IDF Distributions'!$A$1:$AB$290,MATCH('Bulk Tool'!$A34,'IDF Distributions'!$A$1:$A$290,0),MATCH('Bulk Tool'!G$5,'IDF Distributions'!$A$1:$AB$1,0))*INDEX($N$5:$N$11,MATCH(G$6,$L$5:$L$11,0))*IF($E$2="Depth (mm)",(1),IF($E$2="Intensity (mm/hr)",12,0))</f>
        <v>0.96136792781146974</v>
      </c>
      <c r="H34" s="24">
        <f>INDEX('IDF Distributions'!$A$1:$AB$290,MATCH('Bulk Tool'!$A34,'IDF Distributions'!$A$1:$A$290,0),MATCH('Bulk Tool'!H$5,'IDF Distributions'!$A$1:$AB$1,0))*INDEX($N$5:$N$11,MATCH(H$6,$L$5:$L$11,0))*IF($E$2="Depth (mm)",(1),IF($E$2="Intensity (mm/hr)",12,0))</f>
        <v>1.0766747092107773</v>
      </c>
      <c r="I34" s="12" t="str">
        <f>IF(COUNTIF($H$7:H34,$H$7)&gt;1,"Do Not Copy","Copy")</f>
        <v>Copy</v>
      </c>
      <c r="L34"/>
      <c r="M34" s="2"/>
    </row>
    <row r="35" spans="1:13" x14ac:dyDescent="0.25">
      <c r="A35" s="128">
        <f t="shared" si="3"/>
        <v>9.7222222222222252E-2</v>
      </c>
      <c r="B35" s="24">
        <f>INDEX('IDF Distributions'!$A$1:$AB$290,MATCH('Bulk Tool'!$A35,'IDF Distributions'!$A$1:$A$290,0),MATCH('Bulk Tool'!B$5,'IDF Distributions'!$A$1:$AB$1,0))*INDEX($N$5:$N$11,MATCH(B$6,$L$5:$L$11,0))*IF($E$2="Depth (mm)",(1),IF($E$2="Intensity (mm/hr)",12,0))</f>
        <v>0.40379340128318408</v>
      </c>
      <c r="C35" s="24">
        <f>INDEX('IDF Distributions'!$A$1:$AB$290,MATCH('Bulk Tool'!$A35,'IDF Distributions'!$A$1:$A$290,0),MATCH('Bulk Tool'!C$5,'IDF Distributions'!$A$1:$AB$1,0))*INDEX($N$5:$N$11,MATCH(C$6,$L$5:$L$11,0))*IF($E$2="Depth (mm)",(1),IF($E$2="Intensity (mm/hr)",12,0))</f>
        <v>0.53844417261566968</v>
      </c>
      <c r="D35" s="24">
        <f>INDEX('IDF Distributions'!$A$1:$AB$290,MATCH('Bulk Tool'!$A35,'IDF Distributions'!$A$1:$A$290,0),MATCH('Bulk Tool'!D$5,'IDF Distributions'!$A$1:$AB$1,0))*INDEX($N$5:$N$11,MATCH(D$6,$L$5:$L$11,0))*IF($E$2="Depth (mm)",(1),IF($E$2="Intensity (mm/hr)",12,0))</f>
        <v>0.63404887553036349</v>
      </c>
      <c r="E35" s="24">
        <f>INDEX('IDF Distributions'!$A$1:$AB$290,MATCH('Bulk Tool'!$A35,'IDF Distributions'!$A$1:$A$290,0),MATCH('Bulk Tool'!E$5,'IDF Distributions'!$A$1:$AB$1,0))*INDEX($N$5:$N$11,MATCH(E$6,$L$5:$L$11,0))*IF($E$2="Depth (mm)",(1),IF($E$2="Intensity (mm/hr)",12,0))</f>
        <v>0.76566791226164033</v>
      </c>
      <c r="F35" s="24">
        <f>INDEX('IDF Distributions'!$A$1:$AB$290,MATCH('Bulk Tool'!$A35,'IDF Distributions'!$A$1:$A$290,0),MATCH('Bulk Tool'!F$5,'IDF Distributions'!$A$1:$AB$1,0))*INDEX($N$5:$N$11,MATCH(F$6,$L$5:$L$11,0))*IF($E$2="Depth (mm)",(1),IF($E$2="Intensity (mm/hr)",12,0))</f>
        <v>0.86955172630374644</v>
      </c>
      <c r="G35" s="24">
        <f>INDEX('IDF Distributions'!$A$1:$AB$290,MATCH('Bulk Tool'!$A35,'IDF Distributions'!$A$1:$A$290,0),MATCH('Bulk Tool'!G$5,'IDF Distributions'!$A$1:$AB$1,0))*INDEX($N$5:$N$11,MATCH(G$6,$L$5:$L$11,0))*IF($E$2="Depth (mm)",(1),IF($E$2="Intensity (mm/hr)",12,0))</f>
        <v>0.97939357645793801</v>
      </c>
      <c r="H35" s="24">
        <f>INDEX('IDF Distributions'!$A$1:$AB$290,MATCH('Bulk Tool'!$A35,'IDF Distributions'!$A$1:$A$290,0),MATCH('Bulk Tool'!H$5,'IDF Distributions'!$A$1:$AB$1,0))*INDEX($N$5:$N$11,MATCH(H$6,$L$5:$L$11,0))*IF($E$2="Depth (mm)",(1),IF($E$2="Intensity (mm/hr)",12,0))</f>
        <v>1.096862360008483</v>
      </c>
      <c r="I35" s="12" t="str">
        <f>IF(COUNTIF($H$7:H35,$H$7)&gt;1,"Do Not Copy","Copy")</f>
        <v>Copy</v>
      </c>
      <c r="L35"/>
      <c r="M35" s="2"/>
    </row>
    <row r="36" spans="1:13" x14ac:dyDescent="0.25">
      <c r="A36" s="128">
        <f t="shared" si="3"/>
        <v>0.10069444444444448</v>
      </c>
      <c r="B36" s="24">
        <f>INDEX('IDF Distributions'!$A$1:$AB$290,MATCH('Bulk Tool'!$A36,'IDF Distributions'!$A$1:$A$290,0),MATCH('Bulk Tool'!B$5,'IDF Distributions'!$A$1:$AB$1,0))*INDEX($N$5:$N$11,MATCH(B$6,$L$5:$L$11,0))*IF($E$2="Depth (mm)",(1),IF($E$2="Intensity (mm/hr)",12,0))</f>
        <v>0.40379340128318519</v>
      </c>
      <c r="C36" s="24">
        <f>INDEX('IDF Distributions'!$A$1:$AB$290,MATCH('Bulk Tool'!$A36,'IDF Distributions'!$A$1:$A$290,0),MATCH('Bulk Tool'!C$5,'IDF Distributions'!$A$1:$AB$1,0))*INDEX($N$5:$N$11,MATCH(C$6,$L$5:$L$11,0))*IF($E$2="Depth (mm)",(1),IF($E$2="Intensity (mm/hr)",12,0))</f>
        <v>0.53844417261567112</v>
      </c>
      <c r="D36" s="24">
        <f>INDEX('IDF Distributions'!$A$1:$AB$290,MATCH('Bulk Tool'!$A36,'IDF Distributions'!$A$1:$A$290,0),MATCH('Bulk Tool'!D$5,'IDF Distributions'!$A$1:$AB$1,0))*INDEX($N$5:$N$11,MATCH(D$6,$L$5:$L$11,0))*IF($E$2="Depth (mm)",(1),IF($E$2="Intensity (mm/hr)",12,0))</f>
        <v>0.63404887553036526</v>
      </c>
      <c r="E36" s="24">
        <f>INDEX('IDF Distributions'!$A$1:$AB$290,MATCH('Bulk Tool'!$A36,'IDF Distributions'!$A$1:$A$290,0),MATCH('Bulk Tool'!E$5,'IDF Distributions'!$A$1:$AB$1,0))*INDEX($N$5:$N$11,MATCH(E$6,$L$5:$L$11,0))*IF($E$2="Depth (mm)",(1),IF($E$2="Intensity (mm/hr)",12,0))</f>
        <v>0.76566791226164221</v>
      </c>
      <c r="F36" s="24">
        <f>INDEX('IDF Distributions'!$A$1:$AB$290,MATCH('Bulk Tool'!$A36,'IDF Distributions'!$A$1:$A$290,0),MATCH('Bulk Tool'!F$5,'IDF Distributions'!$A$1:$AB$1,0))*INDEX($N$5:$N$11,MATCH(F$6,$L$5:$L$11,0))*IF($E$2="Depth (mm)",(1),IF($E$2="Intensity (mm/hr)",12,0))</f>
        <v>0.86955172630374866</v>
      </c>
      <c r="G36" s="24">
        <f>INDEX('IDF Distributions'!$A$1:$AB$290,MATCH('Bulk Tool'!$A36,'IDF Distributions'!$A$1:$A$290,0),MATCH('Bulk Tool'!G$5,'IDF Distributions'!$A$1:$AB$1,0))*INDEX($N$5:$N$11,MATCH(G$6,$L$5:$L$11,0))*IF($E$2="Depth (mm)",(1),IF($E$2="Intensity (mm/hr)",12,0))</f>
        <v>0.97939357645794045</v>
      </c>
      <c r="H36" s="24">
        <f>INDEX('IDF Distributions'!$A$1:$AB$290,MATCH('Bulk Tool'!$A36,'IDF Distributions'!$A$1:$A$290,0),MATCH('Bulk Tool'!H$5,'IDF Distributions'!$A$1:$AB$1,0))*INDEX($N$5:$N$11,MATCH(H$6,$L$5:$L$11,0))*IF($E$2="Depth (mm)",(1),IF($E$2="Intensity (mm/hr)",12,0))</f>
        <v>1.0968623600084859</v>
      </c>
      <c r="I36" s="12" t="str">
        <f>IF(COUNTIF($H$7:H36,$H$7)&gt;1,"Do Not Copy","Copy")</f>
        <v>Copy</v>
      </c>
      <c r="L36"/>
      <c r="M36" s="2"/>
    </row>
    <row r="37" spans="1:13" x14ac:dyDescent="0.25">
      <c r="A37" s="128">
        <f t="shared" si="3"/>
        <v>0.1041666666666667</v>
      </c>
      <c r="B37" s="24">
        <f>INDEX('IDF Distributions'!$A$1:$AB$290,MATCH('Bulk Tool'!$A37,'IDF Distributions'!$A$1:$A$290,0),MATCH('Bulk Tool'!B$5,'IDF Distributions'!$A$1:$AB$1,0))*INDEX($N$5:$N$11,MATCH(B$6,$L$5:$L$11,0))*IF($E$2="Depth (mm)",(1),IF($E$2="Intensity (mm/hr)",12,0))</f>
        <v>0.39636162089146887</v>
      </c>
      <c r="C37" s="24">
        <f>INDEX('IDF Distributions'!$A$1:$AB$290,MATCH('Bulk Tool'!$A37,'IDF Distributions'!$A$1:$A$290,0),MATCH('Bulk Tool'!C$5,'IDF Distributions'!$A$1:$AB$1,0))*INDEX($N$5:$N$11,MATCH(C$6,$L$5:$L$11,0))*IF($E$2="Depth (mm)",(1),IF($E$2="Intensity (mm/hr)",12,0))</f>
        <v>0.5285341571687554</v>
      </c>
      <c r="D37" s="24">
        <f>INDEX('IDF Distributions'!$A$1:$AB$290,MATCH('Bulk Tool'!$A37,'IDF Distributions'!$A$1:$A$290,0),MATCH('Bulk Tool'!D$5,'IDF Distributions'!$A$1:$AB$1,0))*INDEX($N$5:$N$11,MATCH(D$6,$L$5:$L$11,0))*IF($E$2="Depth (mm)",(1),IF($E$2="Intensity (mm/hr)",12,0))</f>
        <v>0.62237926432428292</v>
      </c>
      <c r="E37" s="24">
        <f>INDEX('IDF Distributions'!$A$1:$AB$290,MATCH('Bulk Tool'!$A37,'IDF Distributions'!$A$1:$A$290,0),MATCH('Bulk Tool'!E$5,'IDF Distributions'!$A$1:$AB$1,0))*INDEX($N$5:$N$11,MATCH(E$6,$L$5:$L$11,0))*IF($E$2="Depth (mm)",(1),IF($E$2="Intensity (mm/hr)",12,0))</f>
        <v>0.75157586479670169</v>
      </c>
      <c r="F37" s="24">
        <f>INDEX('IDF Distributions'!$A$1:$AB$290,MATCH('Bulk Tool'!$A37,'IDF Distributions'!$A$1:$A$290,0),MATCH('Bulk Tool'!F$5,'IDF Distributions'!$A$1:$AB$1,0))*INDEX($N$5:$N$11,MATCH(F$6,$L$5:$L$11,0))*IF($E$2="Depth (mm)",(1),IF($E$2="Intensity (mm/hr)",12,0))</f>
        <v>0.85354770680122305</v>
      </c>
      <c r="G37" s="24">
        <f>INDEX('IDF Distributions'!$A$1:$AB$290,MATCH('Bulk Tool'!$A37,'IDF Distributions'!$A$1:$A$290,0),MATCH('Bulk Tool'!G$5,'IDF Distributions'!$A$1:$AB$1,0))*INDEX($N$5:$N$11,MATCH(G$6,$L$5:$L$11,0))*IF($E$2="Depth (mm)",(1),IF($E$2="Intensity (mm/hr)",12,0))</f>
        <v>0.96136792781147218</v>
      </c>
      <c r="H37" s="24">
        <f>INDEX('IDF Distributions'!$A$1:$AB$290,MATCH('Bulk Tool'!$A37,'IDF Distributions'!$A$1:$A$290,0),MATCH('Bulk Tool'!H$5,'IDF Distributions'!$A$1:$AB$1,0))*INDEX($N$5:$N$11,MATCH(H$6,$L$5:$L$11,0))*IF($E$2="Depth (mm)",(1),IF($E$2="Intensity (mm/hr)",12,0))</f>
        <v>1.0766747092107802</v>
      </c>
      <c r="I37" s="12" t="str">
        <f>IF(COUNTIF($H$7:H37,$H$7)&gt;1,"Do Not Copy","Copy")</f>
        <v>Copy</v>
      </c>
      <c r="L37"/>
      <c r="M37" s="2"/>
    </row>
    <row r="38" spans="1:13" x14ac:dyDescent="0.25">
      <c r="A38" s="128">
        <f t="shared" si="3"/>
        <v>0.10763888888888892</v>
      </c>
      <c r="B38" s="24">
        <f>INDEX('IDF Distributions'!$A$1:$AB$290,MATCH('Bulk Tool'!$A38,'IDF Distributions'!$A$1:$A$290,0),MATCH('Bulk Tool'!B$5,'IDF Distributions'!$A$1:$AB$1,0))*INDEX($N$5:$N$11,MATCH(B$6,$L$5:$L$11,0))*IF($E$2="Depth (mm)",(1),IF($E$2="Intensity (mm/hr)",12,0))</f>
        <v>0.39636162089146887</v>
      </c>
      <c r="C38" s="24">
        <f>INDEX('IDF Distributions'!$A$1:$AB$290,MATCH('Bulk Tool'!$A38,'IDF Distributions'!$A$1:$A$290,0),MATCH('Bulk Tool'!C$5,'IDF Distributions'!$A$1:$AB$1,0))*INDEX($N$5:$N$11,MATCH(C$6,$L$5:$L$11,0))*IF($E$2="Depth (mm)",(1),IF($E$2="Intensity (mm/hr)",12,0))</f>
        <v>0.5285341571687554</v>
      </c>
      <c r="D38" s="24">
        <f>INDEX('IDF Distributions'!$A$1:$AB$290,MATCH('Bulk Tool'!$A38,'IDF Distributions'!$A$1:$A$290,0),MATCH('Bulk Tool'!D$5,'IDF Distributions'!$A$1:$AB$1,0))*INDEX($N$5:$N$11,MATCH(D$6,$L$5:$L$11,0))*IF($E$2="Depth (mm)",(1),IF($E$2="Intensity (mm/hr)",12,0))</f>
        <v>0.62237926432428292</v>
      </c>
      <c r="E38" s="24">
        <f>INDEX('IDF Distributions'!$A$1:$AB$290,MATCH('Bulk Tool'!$A38,'IDF Distributions'!$A$1:$A$290,0),MATCH('Bulk Tool'!E$5,'IDF Distributions'!$A$1:$AB$1,0))*INDEX($N$5:$N$11,MATCH(E$6,$L$5:$L$11,0))*IF($E$2="Depth (mm)",(1),IF($E$2="Intensity (mm/hr)",12,0))</f>
        <v>0.75157586479670169</v>
      </c>
      <c r="F38" s="24">
        <f>INDEX('IDF Distributions'!$A$1:$AB$290,MATCH('Bulk Tool'!$A38,'IDF Distributions'!$A$1:$A$290,0),MATCH('Bulk Tool'!F$5,'IDF Distributions'!$A$1:$AB$1,0))*INDEX($N$5:$N$11,MATCH(F$6,$L$5:$L$11,0))*IF($E$2="Depth (mm)",(1),IF($E$2="Intensity (mm/hr)",12,0))</f>
        <v>0.85354770680122305</v>
      </c>
      <c r="G38" s="24">
        <f>INDEX('IDF Distributions'!$A$1:$AB$290,MATCH('Bulk Tool'!$A38,'IDF Distributions'!$A$1:$A$290,0),MATCH('Bulk Tool'!G$5,'IDF Distributions'!$A$1:$AB$1,0))*INDEX($N$5:$N$11,MATCH(G$6,$L$5:$L$11,0))*IF($E$2="Depth (mm)",(1),IF($E$2="Intensity (mm/hr)",12,0))</f>
        <v>0.96136792781147218</v>
      </c>
      <c r="H38" s="24">
        <f>INDEX('IDF Distributions'!$A$1:$AB$290,MATCH('Bulk Tool'!$A38,'IDF Distributions'!$A$1:$A$290,0),MATCH('Bulk Tool'!H$5,'IDF Distributions'!$A$1:$AB$1,0))*INDEX($N$5:$N$11,MATCH(H$6,$L$5:$L$11,0))*IF($E$2="Depth (mm)",(1),IF($E$2="Intensity (mm/hr)",12,0))</f>
        <v>1.0766747092107802</v>
      </c>
      <c r="I38" s="12" t="str">
        <f>IF(COUNTIF($H$7:H38,$H$7)&gt;1,"Do Not Copy","Copy")</f>
        <v>Copy</v>
      </c>
      <c r="L38"/>
      <c r="M38" s="2"/>
    </row>
    <row r="39" spans="1:13" x14ac:dyDescent="0.25">
      <c r="A39" s="128">
        <f t="shared" si="3"/>
        <v>0.11111111111111115</v>
      </c>
      <c r="B39" s="24">
        <f>INDEX('IDF Distributions'!$A$1:$AB$290,MATCH('Bulk Tool'!$A39,'IDF Distributions'!$A$1:$A$290,0),MATCH('Bulk Tool'!B$5,'IDF Distributions'!$A$1:$AB$1,0))*INDEX($N$5:$N$11,MATCH(B$6,$L$5:$L$11,0))*IF($E$2="Depth (mm)",(1),IF($E$2="Intensity (mm/hr)",12,0))</f>
        <v>0.39636162089147092</v>
      </c>
      <c r="C39" s="24">
        <f>INDEX('IDF Distributions'!$A$1:$AB$290,MATCH('Bulk Tool'!$A39,'IDF Distributions'!$A$1:$A$290,0),MATCH('Bulk Tool'!C$5,'IDF Distributions'!$A$1:$AB$1,0))*INDEX($N$5:$N$11,MATCH(C$6,$L$5:$L$11,0))*IF($E$2="Depth (mm)",(1),IF($E$2="Intensity (mm/hr)",12,0))</f>
        <v>0.52853415716875807</v>
      </c>
      <c r="D39" s="24">
        <f>INDEX('IDF Distributions'!$A$1:$AB$290,MATCH('Bulk Tool'!$A39,'IDF Distributions'!$A$1:$A$290,0),MATCH('Bulk Tool'!D$5,'IDF Distributions'!$A$1:$AB$1,0))*INDEX($N$5:$N$11,MATCH(D$6,$L$5:$L$11,0))*IF($E$2="Depth (mm)",(1),IF($E$2="Intensity (mm/hr)",12,0))</f>
        <v>0.62237926432428614</v>
      </c>
      <c r="E39" s="24">
        <f>INDEX('IDF Distributions'!$A$1:$AB$290,MATCH('Bulk Tool'!$A39,'IDF Distributions'!$A$1:$A$290,0),MATCH('Bulk Tool'!E$5,'IDF Distributions'!$A$1:$AB$1,0))*INDEX($N$5:$N$11,MATCH(E$6,$L$5:$L$11,0))*IF($E$2="Depth (mm)",(1),IF($E$2="Intensity (mm/hr)",12,0))</f>
        <v>0.75157586479670557</v>
      </c>
      <c r="F39" s="24">
        <f>INDEX('IDF Distributions'!$A$1:$AB$290,MATCH('Bulk Tool'!$A39,'IDF Distributions'!$A$1:$A$290,0),MATCH('Bulk Tool'!F$5,'IDF Distributions'!$A$1:$AB$1,0))*INDEX($N$5:$N$11,MATCH(F$6,$L$5:$L$11,0))*IF($E$2="Depth (mm)",(1),IF($E$2="Intensity (mm/hr)",12,0))</f>
        <v>0.85354770680122738</v>
      </c>
      <c r="G39" s="24">
        <f>INDEX('IDF Distributions'!$A$1:$AB$290,MATCH('Bulk Tool'!$A39,'IDF Distributions'!$A$1:$A$290,0),MATCH('Bulk Tool'!G$5,'IDF Distributions'!$A$1:$AB$1,0))*INDEX($N$5:$N$11,MATCH(G$6,$L$5:$L$11,0))*IF($E$2="Depth (mm)",(1),IF($E$2="Intensity (mm/hr)",12,0))</f>
        <v>0.96136792781147729</v>
      </c>
      <c r="H39" s="24">
        <f>INDEX('IDF Distributions'!$A$1:$AB$290,MATCH('Bulk Tool'!$A39,'IDF Distributions'!$A$1:$A$290,0),MATCH('Bulk Tool'!H$5,'IDF Distributions'!$A$1:$AB$1,0))*INDEX($N$5:$N$11,MATCH(H$6,$L$5:$L$11,0))*IF($E$2="Depth (mm)",(1),IF($E$2="Intensity (mm/hr)",12,0))</f>
        <v>1.076674709210786</v>
      </c>
      <c r="I39" s="12" t="str">
        <f>IF(COUNTIF($H$7:H39,$H$7)&gt;1,"Do Not Copy","Copy")</f>
        <v>Copy</v>
      </c>
      <c r="L39"/>
      <c r="M39" s="2"/>
    </row>
    <row r="40" spans="1:13" x14ac:dyDescent="0.25">
      <c r="A40" s="128">
        <f t="shared" si="3"/>
        <v>0.11458333333333337</v>
      </c>
      <c r="B40" s="24">
        <f>INDEX('IDF Distributions'!$A$1:$AB$290,MATCH('Bulk Tool'!$A40,'IDF Distributions'!$A$1:$A$290,0),MATCH('Bulk Tool'!B$5,'IDF Distributions'!$A$1:$AB$1,0))*INDEX($N$5:$N$11,MATCH(B$6,$L$5:$L$11,0))*IF($E$2="Depth (mm)",(1),IF($E$2="Intensity (mm/hr)",12,0))</f>
        <v>0.39636162089146887</v>
      </c>
      <c r="C40" s="24">
        <f>INDEX('IDF Distributions'!$A$1:$AB$290,MATCH('Bulk Tool'!$A40,'IDF Distributions'!$A$1:$A$290,0),MATCH('Bulk Tool'!C$5,'IDF Distributions'!$A$1:$AB$1,0))*INDEX($N$5:$N$11,MATCH(C$6,$L$5:$L$11,0))*IF($E$2="Depth (mm)",(1),IF($E$2="Intensity (mm/hr)",12,0))</f>
        <v>0.5285341571687554</v>
      </c>
      <c r="D40" s="24">
        <f>INDEX('IDF Distributions'!$A$1:$AB$290,MATCH('Bulk Tool'!$A40,'IDF Distributions'!$A$1:$A$290,0),MATCH('Bulk Tool'!D$5,'IDF Distributions'!$A$1:$AB$1,0))*INDEX($N$5:$N$11,MATCH(D$6,$L$5:$L$11,0))*IF($E$2="Depth (mm)",(1),IF($E$2="Intensity (mm/hr)",12,0))</f>
        <v>0.62237926432428292</v>
      </c>
      <c r="E40" s="24">
        <f>INDEX('IDF Distributions'!$A$1:$AB$290,MATCH('Bulk Tool'!$A40,'IDF Distributions'!$A$1:$A$290,0),MATCH('Bulk Tool'!E$5,'IDF Distributions'!$A$1:$AB$1,0))*INDEX($N$5:$N$11,MATCH(E$6,$L$5:$L$11,0))*IF($E$2="Depth (mm)",(1),IF($E$2="Intensity (mm/hr)",12,0))</f>
        <v>0.75157586479670169</v>
      </c>
      <c r="F40" s="24">
        <f>INDEX('IDF Distributions'!$A$1:$AB$290,MATCH('Bulk Tool'!$A40,'IDF Distributions'!$A$1:$A$290,0),MATCH('Bulk Tool'!F$5,'IDF Distributions'!$A$1:$AB$1,0))*INDEX($N$5:$N$11,MATCH(F$6,$L$5:$L$11,0))*IF($E$2="Depth (mm)",(1),IF($E$2="Intensity (mm/hr)",12,0))</f>
        <v>0.85354770680122305</v>
      </c>
      <c r="G40" s="24">
        <f>INDEX('IDF Distributions'!$A$1:$AB$290,MATCH('Bulk Tool'!$A40,'IDF Distributions'!$A$1:$A$290,0),MATCH('Bulk Tool'!G$5,'IDF Distributions'!$A$1:$AB$1,0))*INDEX($N$5:$N$11,MATCH(G$6,$L$5:$L$11,0))*IF($E$2="Depth (mm)",(1),IF($E$2="Intensity (mm/hr)",12,0))</f>
        <v>0.96136792781147218</v>
      </c>
      <c r="H40" s="24">
        <f>INDEX('IDF Distributions'!$A$1:$AB$290,MATCH('Bulk Tool'!$A40,'IDF Distributions'!$A$1:$A$290,0),MATCH('Bulk Tool'!H$5,'IDF Distributions'!$A$1:$AB$1,0))*INDEX($N$5:$N$11,MATCH(H$6,$L$5:$L$11,0))*IF($E$2="Depth (mm)",(1),IF($E$2="Intensity (mm/hr)",12,0))</f>
        <v>1.0766747092107802</v>
      </c>
      <c r="I40" s="12" t="str">
        <f>IF(COUNTIF($H$7:H40,$H$7)&gt;1,"Do Not Copy","Copy")</f>
        <v>Copy</v>
      </c>
      <c r="L40"/>
      <c r="M40" s="2"/>
    </row>
    <row r="41" spans="1:13" x14ac:dyDescent="0.25">
      <c r="A41" s="128">
        <f t="shared" si="3"/>
        <v>0.11805555555555559</v>
      </c>
      <c r="B41" s="24">
        <f>INDEX('IDF Distributions'!$A$1:$AB$290,MATCH('Bulk Tool'!$A41,'IDF Distributions'!$A$1:$A$290,0),MATCH('Bulk Tool'!B$5,'IDF Distributions'!$A$1:$AB$1,0))*INDEX($N$5:$N$11,MATCH(B$6,$L$5:$L$11,0))*IF($E$2="Depth (mm)",(1),IF($E$2="Intensity (mm/hr)",12,0))</f>
        <v>0.39636162089146687</v>
      </c>
      <c r="C41" s="24">
        <f>INDEX('IDF Distributions'!$A$1:$AB$290,MATCH('Bulk Tool'!$A41,'IDF Distributions'!$A$1:$A$290,0),MATCH('Bulk Tool'!C$5,'IDF Distributions'!$A$1:$AB$1,0))*INDEX($N$5:$N$11,MATCH(C$6,$L$5:$L$11,0))*IF($E$2="Depth (mm)",(1),IF($E$2="Intensity (mm/hr)",12,0))</f>
        <v>0.52853415716875263</v>
      </c>
      <c r="D41" s="24">
        <f>INDEX('IDF Distributions'!$A$1:$AB$290,MATCH('Bulk Tool'!$A41,'IDF Distributions'!$A$1:$A$290,0),MATCH('Bulk Tool'!D$5,'IDF Distributions'!$A$1:$AB$1,0))*INDEX($N$5:$N$11,MATCH(D$6,$L$5:$L$11,0))*IF($E$2="Depth (mm)",(1),IF($E$2="Intensity (mm/hr)",12,0))</f>
        <v>0.6223792643242797</v>
      </c>
      <c r="E41" s="24">
        <f>INDEX('IDF Distributions'!$A$1:$AB$290,MATCH('Bulk Tool'!$A41,'IDF Distributions'!$A$1:$A$290,0),MATCH('Bulk Tool'!E$5,'IDF Distributions'!$A$1:$AB$1,0))*INDEX($N$5:$N$11,MATCH(E$6,$L$5:$L$11,0))*IF($E$2="Depth (mm)",(1),IF($E$2="Intensity (mm/hr)",12,0))</f>
        <v>0.75157586479669769</v>
      </c>
      <c r="F41" s="24">
        <f>INDEX('IDF Distributions'!$A$1:$AB$290,MATCH('Bulk Tool'!$A41,'IDF Distributions'!$A$1:$A$290,0),MATCH('Bulk Tool'!F$5,'IDF Distributions'!$A$1:$AB$1,0))*INDEX($N$5:$N$11,MATCH(F$6,$L$5:$L$11,0))*IF($E$2="Depth (mm)",(1),IF($E$2="Intensity (mm/hr)",12,0))</f>
        <v>0.8535477068012185</v>
      </c>
      <c r="G41" s="24">
        <f>INDEX('IDF Distributions'!$A$1:$AB$290,MATCH('Bulk Tool'!$A41,'IDF Distributions'!$A$1:$A$290,0),MATCH('Bulk Tool'!G$5,'IDF Distributions'!$A$1:$AB$1,0))*INDEX($N$5:$N$11,MATCH(G$6,$L$5:$L$11,0))*IF($E$2="Depth (mm)",(1),IF($E$2="Intensity (mm/hr)",12,0))</f>
        <v>0.96136792781146729</v>
      </c>
      <c r="H41" s="24">
        <f>INDEX('IDF Distributions'!$A$1:$AB$290,MATCH('Bulk Tool'!$A41,'IDF Distributions'!$A$1:$A$290,0),MATCH('Bulk Tool'!H$5,'IDF Distributions'!$A$1:$AB$1,0))*INDEX($N$5:$N$11,MATCH(H$6,$L$5:$L$11,0))*IF($E$2="Depth (mm)",(1),IF($E$2="Intensity (mm/hr)",12,0))</f>
        <v>1.0766747092107747</v>
      </c>
      <c r="I41" s="12" t="str">
        <f>IF(COUNTIF($H$7:H41,$H$7)&gt;1,"Do Not Copy","Copy")</f>
        <v>Copy</v>
      </c>
      <c r="L41"/>
      <c r="M41" s="2"/>
    </row>
    <row r="42" spans="1:13" x14ac:dyDescent="0.25">
      <c r="A42" s="128">
        <f t="shared" si="3"/>
        <v>0.12152777777777782</v>
      </c>
      <c r="B42" s="24">
        <f>INDEX('IDF Distributions'!$A$1:$AB$290,MATCH('Bulk Tool'!$A42,'IDF Distributions'!$A$1:$A$290,0),MATCH('Bulk Tool'!B$5,'IDF Distributions'!$A$1:$AB$1,0))*INDEX($N$5:$N$11,MATCH(B$6,$L$5:$L$11,0))*IF($E$2="Depth (mm)",(1),IF($E$2="Intensity (mm/hr)",12,0))</f>
        <v>0.39636162089147092</v>
      </c>
      <c r="C42" s="24">
        <f>INDEX('IDF Distributions'!$A$1:$AB$290,MATCH('Bulk Tool'!$A42,'IDF Distributions'!$A$1:$A$290,0),MATCH('Bulk Tool'!C$5,'IDF Distributions'!$A$1:$AB$1,0))*INDEX($N$5:$N$11,MATCH(C$6,$L$5:$L$11,0))*IF($E$2="Depth (mm)",(1),IF($E$2="Intensity (mm/hr)",12,0))</f>
        <v>0.52853415716875807</v>
      </c>
      <c r="D42" s="24">
        <f>INDEX('IDF Distributions'!$A$1:$AB$290,MATCH('Bulk Tool'!$A42,'IDF Distributions'!$A$1:$A$290,0),MATCH('Bulk Tool'!D$5,'IDF Distributions'!$A$1:$AB$1,0))*INDEX($N$5:$N$11,MATCH(D$6,$L$5:$L$11,0))*IF($E$2="Depth (mm)",(1),IF($E$2="Intensity (mm/hr)",12,0))</f>
        <v>0.62237926432428614</v>
      </c>
      <c r="E42" s="24">
        <f>INDEX('IDF Distributions'!$A$1:$AB$290,MATCH('Bulk Tool'!$A42,'IDF Distributions'!$A$1:$A$290,0),MATCH('Bulk Tool'!E$5,'IDF Distributions'!$A$1:$AB$1,0))*INDEX($N$5:$N$11,MATCH(E$6,$L$5:$L$11,0))*IF($E$2="Depth (mm)",(1),IF($E$2="Intensity (mm/hr)",12,0))</f>
        <v>0.75157586479670557</v>
      </c>
      <c r="F42" s="24">
        <f>INDEX('IDF Distributions'!$A$1:$AB$290,MATCH('Bulk Tool'!$A42,'IDF Distributions'!$A$1:$A$290,0),MATCH('Bulk Tool'!F$5,'IDF Distributions'!$A$1:$AB$1,0))*INDEX($N$5:$N$11,MATCH(F$6,$L$5:$L$11,0))*IF($E$2="Depth (mm)",(1),IF($E$2="Intensity (mm/hr)",12,0))</f>
        <v>0.85354770680122738</v>
      </c>
      <c r="G42" s="24">
        <f>INDEX('IDF Distributions'!$A$1:$AB$290,MATCH('Bulk Tool'!$A42,'IDF Distributions'!$A$1:$A$290,0),MATCH('Bulk Tool'!G$5,'IDF Distributions'!$A$1:$AB$1,0))*INDEX($N$5:$N$11,MATCH(G$6,$L$5:$L$11,0))*IF($E$2="Depth (mm)",(1),IF($E$2="Intensity (mm/hr)",12,0))</f>
        <v>0.96136792781147729</v>
      </c>
      <c r="H42" s="24">
        <f>INDEX('IDF Distributions'!$A$1:$AB$290,MATCH('Bulk Tool'!$A42,'IDF Distributions'!$A$1:$A$290,0),MATCH('Bulk Tool'!H$5,'IDF Distributions'!$A$1:$AB$1,0))*INDEX($N$5:$N$11,MATCH(H$6,$L$5:$L$11,0))*IF($E$2="Depth (mm)",(1),IF($E$2="Intensity (mm/hr)",12,0))</f>
        <v>1.076674709210786</v>
      </c>
      <c r="I42" s="12" t="str">
        <f>IF(COUNTIF($H$7:H42,$H$7)&gt;1,"Do Not Copy","Copy")</f>
        <v>Copy</v>
      </c>
      <c r="L42"/>
      <c r="M42" s="2"/>
    </row>
    <row r="43" spans="1:13" x14ac:dyDescent="0.25">
      <c r="A43" s="128">
        <f t="shared" si="3"/>
        <v>0.12500000000000003</v>
      </c>
      <c r="B43" s="24">
        <f>INDEX('IDF Distributions'!$A$1:$AB$290,MATCH('Bulk Tool'!$A43,'IDF Distributions'!$A$1:$A$290,0),MATCH('Bulk Tool'!B$5,'IDF Distributions'!$A$1:$AB$1,0))*INDEX($N$5:$N$11,MATCH(B$6,$L$5:$L$11,0))*IF($E$2="Depth (mm)",(1),IF($E$2="Intensity (mm/hr)",12,0))</f>
        <v>0.3938843607608975</v>
      </c>
      <c r="C43" s="24">
        <f>INDEX('IDF Distributions'!$A$1:$AB$290,MATCH('Bulk Tool'!$A43,'IDF Distributions'!$A$1:$A$290,0),MATCH('Bulk Tool'!C$5,'IDF Distributions'!$A$1:$AB$1,0))*INDEX($N$5:$N$11,MATCH(C$6,$L$5:$L$11,0))*IF($E$2="Depth (mm)",(1),IF($E$2="Intensity (mm/hr)",12,0))</f>
        <v>0.52523081868645094</v>
      </c>
      <c r="D43" s="24">
        <f>INDEX('IDF Distributions'!$A$1:$AB$290,MATCH('Bulk Tool'!$A43,'IDF Distributions'!$A$1:$A$290,0),MATCH('Bulk Tool'!D$5,'IDF Distributions'!$A$1:$AB$1,0))*INDEX($N$5:$N$11,MATCH(D$6,$L$5:$L$11,0))*IF($E$2="Depth (mm)",(1),IF($E$2="Intensity (mm/hr)",12,0))</f>
        <v>0.61848939392225666</v>
      </c>
      <c r="E43" s="24">
        <f>INDEX('IDF Distributions'!$A$1:$AB$290,MATCH('Bulk Tool'!$A43,'IDF Distributions'!$A$1:$A$290,0),MATCH('Bulk Tool'!E$5,'IDF Distributions'!$A$1:$AB$1,0))*INDEX($N$5:$N$11,MATCH(E$6,$L$5:$L$11,0))*IF($E$2="Depth (mm)",(1),IF($E$2="Intensity (mm/hr)",12,0))</f>
        <v>0.74687851564172281</v>
      </c>
      <c r="F43" s="24">
        <f>INDEX('IDF Distributions'!$A$1:$AB$290,MATCH('Bulk Tool'!$A43,'IDF Distributions'!$A$1:$A$290,0),MATCH('Bulk Tool'!F$5,'IDF Distributions'!$A$1:$AB$1,0))*INDEX($N$5:$N$11,MATCH(F$6,$L$5:$L$11,0))*IF($E$2="Depth (mm)",(1),IF($E$2="Intensity (mm/hr)",12,0))</f>
        <v>0.84821303363371592</v>
      </c>
      <c r="G43" s="24">
        <f>INDEX('IDF Distributions'!$A$1:$AB$290,MATCH('Bulk Tool'!$A43,'IDF Distributions'!$A$1:$A$290,0),MATCH('Bulk Tool'!G$5,'IDF Distributions'!$A$1:$AB$1,0))*INDEX($N$5:$N$11,MATCH(G$6,$L$5:$L$11,0))*IF($E$2="Depth (mm)",(1),IF($E$2="Intensity (mm/hr)",12,0))</f>
        <v>0.95535937826265127</v>
      </c>
      <c r="H43" s="24">
        <f>INDEX('IDF Distributions'!$A$1:$AB$290,MATCH('Bulk Tool'!$A43,'IDF Distributions'!$A$1:$A$290,0),MATCH('Bulk Tool'!H$5,'IDF Distributions'!$A$1:$AB$1,0))*INDEX($N$5:$N$11,MATCH(H$6,$L$5:$L$11,0))*IF($E$2="Depth (mm)",(1),IF($E$2="Intensity (mm/hr)",12,0))</f>
        <v>1.0699454922782137</v>
      </c>
      <c r="I43" s="12" t="str">
        <f>IF(COUNTIF($H$7:H43,$H$7)&gt;1,"Do Not Copy","Copy")</f>
        <v>Copy</v>
      </c>
      <c r="L43"/>
      <c r="M43" s="2"/>
    </row>
    <row r="44" spans="1:13" x14ac:dyDescent="0.25">
      <c r="A44" s="128">
        <f t="shared" si="3"/>
        <v>0.12847222222222224</v>
      </c>
      <c r="B44" s="24">
        <f>INDEX('IDF Distributions'!$A$1:$AB$290,MATCH('Bulk Tool'!$A44,'IDF Distributions'!$A$1:$A$290,0),MATCH('Bulk Tool'!B$5,'IDF Distributions'!$A$1:$AB$1,0))*INDEX($N$5:$N$11,MATCH(B$6,$L$5:$L$11,0))*IF($E$2="Depth (mm)",(1),IF($E$2="Intensity (mm/hr)",12,0))</f>
        <v>0.38397532023860981</v>
      </c>
      <c r="C44" s="24">
        <f>INDEX('IDF Distributions'!$A$1:$AB$290,MATCH('Bulk Tool'!$A44,'IDF Distributions'!$A$1:$A$290,0),MATCH('Bulk Tool'!C$5,'IDF Distributions'!$A$1:$AB$1,0))*INDEX($N$5:$N$11,MATCH(C$6,$L$5:$L$11,0))*IF($E$2="Depth (mm)",(1),IF($E$2="Intensity (mm/hr)",12,0))</f>
        <v>0.51201746475723087</v>
      </c>
      <c r="D44" s="24">
        <f>INDEX('IDF Distributions'!$A$1:$AB$290,MATCH('Bulk Tool'!$A44,'IDF Distributions'!$A$1:$A$290,0),MATCH('Bulk Tool'!D$5,'IDF Distributions'!$A$1:$AB$1,0))*INDEX($N$5:$N$11,MATCH(D$6,$L$5:$L$11,0))*IF($E$2="Depth (mm)",(1),IF($E$2="Intensity (mm/hr)",12,0))</f>
        <v>0.60292991231414805</v>
      </c>
      <c r="E44" s="24">
        <f>INDEX('IDF Distributions'!$A$1:$AB$290,MATCH('Bulk Tool'!$A44,'IDF Distributions'!$A$1:$A$290,0),MATCH('Bulk Tool'!E$5,'IDF Distributions'!$A$1:$AB$1,0))*INDEX($N$5:$N$11,MATCH(E$6,$L$5:$L$11,0))*IF($E$2="Depth (mm)",(1),IF($E$2="Intensity (mm/hr)",12,0))</f>
        <v>0.72808911902180351</v>
      </c>
      <c r="F44" s="24">
        <f>INDEX('IDF Distributions'!$A$1:$AB$290,MATCH('Bulk Tool'!$A44,'IDF Distributions'!$A$1:$A$290,0),MATCH('Bulk Tool'!F$5,'IDF Distributions'!$A$1:$AB$1,0))*INDEX($N$5:$N$11,MATCH(F$6,$L$5:$L$11,0))*IF($E$2="Depth (mm)",(1),IF($E$2="Intensity (mm/hr)",12,0))</f>
        <v>0.8268743409636834</v>
      </c>
      <c r="G44" s="24">
        <f>INDEX('IDF Distributions'!$A$1:$AB$290,MATCH('Bulk Tool'!$A44,'IDF Distributions'!$A$1:$A$290,0),MATCH('Bulk Tool'!G$5,'IDF Distributions'!$A$1:$AB$1,0))*INDEX($N$5:$N$11,MATCH(G$6,$L$5:$L$11,0))*IF($E$2="Depth (mm)",(1),IF($E$2="Intensity (mm/hr)",12,0))</f>
        <v>0.93132518006736209</v>
      </c>
      <c r="H44" s="24">
        <f>INDEX('IDF Distributions'!$A$1:$AB$290,MATCH('Bulk Tool'!$A44,'IDF Distributions'!$A$1:$A$290,0),MATCH('Bulk Tool'!H$5,'IDF Distributions'!$A$1:$AB$1,0))*INDEX($N$5:$N$11,MATCH(H$6,$L$5:$L$11,0))*IF($E$2="Depth (mm)",(1),IF($E$2="Intensity (mm/hr)",12,0))</f>
        <v>1.0430286245479414</v>
      </c>
      <c r="I44" s="12" t="str">
        <f>IF(COUNTIF($H$7:H44,$H$7)&gt;1,"Do Not Copy","Copy")</f>
        <v>Copy</v>
      </c>
      <c r="L44"/>
      <c r="M44" s="2"/>
    </row>
    <row r="45" spans="1:13" x14ac:dyDescent="0.25">
      <c r="A45" s="128">
        <f t="shared" si="3"/>
        <v>0.13194444444444445</v>
      </c>
      <c r="B45" s="24">
        <f>INDEX('IDF Distributions'!$A$1:$AB$290,MATCH('Bulk Tool'!$A45,'IDF Distributions'!$A$1:$A$290,0),MATCH('Bulk Tool'!B$5,'IDF Distributions'!$A$1:$AB$1,0))*INDEX($N$5:$N$11,MATCH(B$6,$L$5:$L$11,0))*IF($E$2="Depth (mm)",(1),IF($E$2="Intensity (mm/hr)",12,0))</f>
        <v>0.39636162089147092</v>
      </c>
      <c r="C45" s="24">
        <f>INDEX('IDF Distributions'!$A$1:$AB$290,MATCH('Bulk Tool'!$A45,'IDF Distributions'!$A$1:$A$290,0),MATCH('Bulk Tool'!C$5,'IDF Distributions'!$A$1:$AB$1,0))*INDEX($N$5:$N$11,MATCH(C$6,$L$5:$L$11,0))*IF($E$2="Depth (mm)",(1),IF($E$2="Intensity (mm/hr)",12,0))</f>
        <v>0.52853415716875807</v>
      </c>
      <c r="D45" s="24">
        <f>INDEX('IDF Distributions'!$A$1:$AB$290,MATCH('Bulk Tool'!$A45,'IDF Distributions'!$A$1:$A$290,0),MATCH('Bulk Tool'!D$5,'IDF Distributions'!$A$1:$AB$1,0))*INDEX($N$5:$N$11,MATCH(D$6,$L$5:$L$11,0))*IF($E$2="Depth (mm)",(1),IF($E$2="Intensity (mm/hr)",12,0))</f>
        <v>0.62237926432428614</v>
      </c>
      <c r="E45" s="24">
        <f>INDEX('IDF Distributions'!$A$1:$AB$290,MATCH('Bulk Tool'!$A45,'IDF Distributions'!$A$1:$A$290,0),MATCH('Bulk Tool'!E$5,'IDF Distributions'!$A$1:$AB$1,0))*INDEX($N$5:$N$11,MATCH(E$6,$L$5:$L$11,0))*IF($E$2="Depth (mm)",(1),IF($E$2="Intensity (mm/hr)",12,0))</f>
        <v>0.75157586479670557</v>
      </c>
      <c r="F45" s="24">
        <f>INDEX('IDF Distributions'!$A$1:$AB$290,MATCH('Bulk Tool'!$A45,'IDF Distributions'!$A$1:$A$290,0),MATCH('Bulk Tool'!F$5,'IDF Distributions'!$A$1:$AB$1,0))*INDEX($N$5:$N$11,MATCH(F$6,$L$5:$L$11,0))*IF($E$2="Depth (mm)",(1),IF($E$2="Intensity (mm/hr)",12,0))</f>
        <v>0.85354770680122738</v>
      </c>
      <c r="G45" s="24">
        <f>INDEX('IDF Distributions'!$A$1:$AB$290,MATCH('Bulk Tool'!$A45,'IDF Distributions'!$A$1:$A$290,0),MATCH('Bulk Tool'!G$5,'IDF Distributions'!$A$1:$AB$1,0))*INDEX($N$5:$N$11,MATCH(G$6,$L$5:$L$11,0))*IF($E$2="Depth (mm)",(1),IF($E$2="Intensity (mm/hr)",12,0))</f>
        <v>0.96136792781147729</v>
      </c>
      <c r="H45" s="24">
        <f>INDEX('IDF Distributions'!$A$1:$AB$290,MATCH('Bulk Tool'!$A45,'IDF Distributions'!$A$1:$A$290,0),MATCH('Bulk Tool'!H$5,'IDF Distributions'!$A$1:$AB$1,0))*INDEX($N$5:$N$11,MATCH(H$6,$L$5:$L$11,0))*IF($E$2="Depth (mm)",(1),IF($E$2="Intensity (mm/hr)",12,0))</f>
        <v>1.076674709210786</v>
      </c>
      <c r="I45" s="12" t="str">
        <f>IF(COUNTIF($H$7:H45,$H$7)&gt;1,"Do Not Copy","Copy")</f>
        <v>Copy</v>
      </c>
      <c r="L45"/>
      <c r="M45" s="2"/>
    </row>
    <row r="46" spans="1:13" x14ac:dyDescent="0.25">
      <c r="A46" s="128">
        <f t="shared" si="3"/>
        <v>0.13541666666666666</v>
      </c>
      <c r="B46" s="24">
        <f>INDEX('IDF Distributions'!$A$1:$AB$290,MATCH('Bulk Tool'!$A46,'IDF Distributions'!$A$1:$A$290,0),MATCH('Bulk Tool'!B$5,'IDF Distributions'!$A$1:$AB$1,0))*INDEX($N$5:$N$11,MATCH(B$6,$L$5:$L$11,0))*IF($E$2="Depth (mm)",(1),IF($E$2="Intensity (mm/hr)",12,0))</f>
        <v>0.39636162089146887</v>
      </c>
      <c r="C46" s="24">
        <f>INDEX('IDF Distributions'!$A$1:$AB$290,MATCH('Bulk Tool'!$A46,'IDF Distributions'!$A$1:$A$290,0),MATCH('Bulk Tool'!C$5,'IDF Distributions'!$A$1:$AB$1,0))*INDEX($N$5:$N$11,MATCH(C$6,$L$5:$L$11,0))*IF($E$2="Depth (mm)",(1),IF($E$2="Intensity (mm/hr)",12,0))</f>
        <v>0.5285341571687554</v>
      </c>
      <c r="D46" s="24">
        <f>INDEX('IDF Distributions'!$A$1:$AB$290,MATCH('Bulk Tool'!$A46,'IDF Distributions'!$A$1:$A$290,0),MATCH('Bulk Tool'!D$5,'IDF Distributions'!$A$1:$AB$1,0))*INDEX($N$5:$N$11,MATCH(D$6,$L$5:$L$11,0))*IF($E$2="Depth (mm)",(1),IF($E$2="Intensity (mm/hr)",12,0))</f>
        <v>0.62237926432428292</v>
      </c>
      <c r="E46" s="24">
        <f>INDEX('IDF Distributions'!$A$1:$AB$290,MATCH('Bulk Tool'!$A46,'IDF Distributions'!$A$1:$A$290,0),MATCH('Bulk Tool'!E$5,'IDF Distributions'!$A$1:$AB$1,0))*INDEX($N$5:$N$11,MATCH(E$6,$L$5:$L$11,0))*IF($E$2="Depth (mm)",(1),IF($E$2="Intensity (mm/hr)",12,0))</f>
        <v>0.75157586479670169</v>
      </c>
      <c r="F46" s="24">
        <f>INDEX('IDF Distributions'!$A$1:$AB$290,MATCH('Bulk Tool'!$A46,'IDF Distributions'!$A$1:$A$290,0),MATCH('Bulk Tool'!F$5,'IDF Distributions'!$A$1:$AB$1,0))*INDEX($N$5:$N$11,MATCH(F$6,$L$5:$L$11,0))*IF($E$2="Depth (mm)",(1),IF($E$2="Intensity (mm/hr)",12,0))</f>
        <v>0.85354770680122305</v>
      </c>
      <c r="G46" s="24">
        <f>INDEX('IDF Distributions'!$A$1:$AB$290,MATCH('Bulk Tool'!$A46,'IDF Distributions'!$A$1:$A$290,0),MATCH('Bulk Tool'!G$5,'IDF Distributions'!$A$1:$AB$1,0))*INDEX($N$5:$N$11,MATCH(G$6,$L$5:$L$11,0))*IF($E$2="Depth (mm)",(1),IF($E$2="Intensity (mm/hr)",12,0))</f>
        <v>0.96136792781147218</v>
      </c>
      <c r="H46" s="24">
        <f>INDEX('IDF Distributions'!$A$1:$AB$290,MATCH('Bulk Tool'!$A46,'IDF Distributions'!$A$1:$A$290,0),MATCH('Bulk Tool'!H$5,'IDF Distributions'!$A$1:$AB$1,0))*INDEX($N$5:$N$11,MATCH(H$6,$L$5:$L$11,0))*IF($E$2="Depth (mm)",(1),IF($E$2="Intensity (mm/hr)",12,0))</f>
        <v>1.0766747092107802</v>
      </c>
      <c r="I46" s="12" t="str">
        <f>IF(COUNTIF($H$7:H46,$H$7)&gt;1,"Do Not Copy","Copy")</f>
        <v>Copy</v>
      </c>
      <c r="L46"/>
      <c r="M46" s="2"/>
    </row>
    <row r="47" spans="1:13" x14ac:dyDescent="0.25">
      <c r="A47" s="128">
        <f t="shared" si="3"/>
        <v>0.13888888888888887</v>
      </c>
      <c r="B47" s="24">
        <f>INDEX('IDF Distributions'!$A$1:$AB$290,MATCH('Bulk Tool'!$A47,'IDF Distributions'!$A$1:$A$290,0),MATCH('Bulk Tool'!B$5,'IDF Distributions'!$A$1:$AB$1,0))*INDEX($N$5:$N$11,MATCH(B$6,$L$5:$L$11,0))*IF($E$2="Depth (mm)",(1),IF($E$2="Intensity (mm/hr)",12,0))</f>
        <v>0.39636162089146887</v>
      </c>
      <c r="C47" s="24">
        <f>INDEX('IDF Distributions'!$A$1:$AB$290,MATCH('Bulk Tool'!$A47,'IDF Distributions'!$A$1:$A$290,0),MATCH('Bulk Tool'!C$5,'IDF Distributions'!$A$1:$AB$1,0))*INDEX($N$5:$N$11,MATCH(C$6,$L$5:$L$11,0))*IF($E$2="Depth (mm)",(1),IF($E$2="Intensity (mm/hr)",12,0))</f>
        <v>0.5285341571687554</v>
      </c>
      <c r="D47" s="24">
        <f>INDEX('IDF Distributions'!$A$1:$AB$290,MATCH('Bulk Tool'!$A47,'IDF Distributions'!$A$1:$A$290,0),MATCH('Bulk Tool'!D$5,'IDF Distributions'!$A$1:$AB$1,0))*INDEX($N$5:$N$11,MATCH(D$6,$L$5:$L$11,0))*IF($E$2="Depth (mm)",(1),IF($E$2="Intensity (mm/hr)",12,0))</f>
        <v>0.62237926432428292</v>
      </c>
      <c r="E47" s="24">
        <f>INDEX('IDF Distributions'!$A$1:$AB$290,MATCH('Bulk Tool'!$A47,'IDF Distributions'!$A$1:$A$290,0),MATCH('Bulk Tool'!E$5,'IDF Distributions'!$A$1:$AB$1,0))*INDEX($N$5:$N$11,MATCH(E$6,$L$5:$L$11,0))*IF($E$2="Depth (mm)",(1),IF($E$2="Intensity (mm/hr)",12,0))</f>
        <v>0.75157586479670169</v>
      </c>
      <c r="F47" s="24">
        <f>INDEX('IDF Distributions'!$A$1:$AB$290,MATCH('Bulk Tool'!$A47,'IDF Distributions'!$A$1:$A$290,0),MATCH('Bulk Tool'!F$5,'IDF Distributions'!$A$1:$AB$1,0))*INDEX($N$5:$N$11,MATCH(F$6,$L$5:$L$11,0))*IF($E$2="Depth (mm)",(1),IF($E$2="Intensity (mm/hr)",12,0))</f>
        <v>0.85354770680122305</v>
      </c>
      <c r="G47" s="24">
        <f>INDEX('IDF Distributions'!$A$1:$AB$290,MATCH('Bulk Tool'!$A47,'IDF Distributions'!$A$1:$A$290,0),MATCH('Bulk Tool'!G$5,'IDF Distributions'!$A$1:$AB$1,0))*INDEX($N$5:$N$11,MATCH(G$6,$L$5:$L$11,0))*IF($E$2="Depth (mm)",(1),IF($E$2="Intensity (mm/hr)",12,0))</f>
        <v>0.96136792781147218</v>
      </c>
      <c r="H47" s="24">
        <f>INDEX('IDF Distributions'!$A$1:$AB$290,MATCH('Bulk Tool'!$A47,'IDF Distributions'!$A$1:$A$290,0),MATCH('Bulk Tool'!H$5,'IDF Distributions'!$A$1:$AB$1,0))*INDEX($N$5:$N$11,MATCH(H$6,$L$5:$L$11,0))*IF($E$2="Depth (mm)",(1),IF($E$2="Intensity (mm/hr)",12,0))</f>
        <v>1.0766747092107802</v>
      </c>
      <c r="I47" s="12" t="str">
        <f>IF(COUNTIF($H$7:H47,$H$7)&gt;1,"Do Not Copy","Copy")</f>
        <v>Copy</v>
      </c>
      <c r="L47"/>
      <c r="M47" s="2"/>
    </row>
    <row r="48" spans="1:13" x14ac:dyDescent="0.25">
      <c r="A48" s="128">
        <f t="shared" si="3"/>
        <v>0.14236111111111108</v>
      </c>
      <c r="B48" s="24">
        <f>INDEX('IDF Distributions'!$A$1:$AB$290,MATCH('Bulk Tool'!$A48,'IDF Distributions'!$A$1:$A$290,0),MATCH('Bulk Tool'!B$5,'IDF Distributions'!$A$1:$AB$1,0))*INDEX($N$5:$N$11,MATCH(B$6,$L$5:$L$11,0))*IF($E$2="Depth (mm)",(1),IF($E$2="Intensity (mm/hr)",12,0))</f>
        <v>0.40131614115261377</v>
      </c>
      <c r="C48" s="24">
        <f>INDEX('IDF Distributions'!$A$1:$AB$290,MATCH('Bulk Tool'!$A48,'IDF Distributions'!$A$1:$A$290,0),MATCH('Bulk Tool'!C$5,'IDF Distributions'!$A$1:$AB$1,0))*INDEX($N$5:$N$11,MATCH(C$6,$L$5:$L$11,0))*IF($E$2="Depth (mm)",(1),IF($E$2="Intensity (mm/hr)",12,0))</f>
        <v>0.53514083413336677</v>
      </c>
      <c r="D48" s="24">
        <f>INDEX('IDF Distributions'!$A$1:$AB$290,MATCH('Bulk Tool'!$A48,'IDF Distributions'!$A$1:$A$290,0),MATCH('Bulk Tool'!D$5,'IDF Distributions'!$A$1:$AB$1,0))*INDEX($N$5:$N$11,MATCH(D$6,$L$5:$L$11,0))*IF($E$2="Depth (mm)",(1),IF($E$2="Intensity (mm/hr)",12,0))</f>
        <v>0.63015900512833878</v>
      </c>
      <c r="E48" s="24">
        <f>INDEX('IDF Distributions'!$A$1:$AB$290,MATCH('Bulk Tool'!$A48,'IDF Distributions'!$A$1:$A$290,0),MATCH('Bulk Tool'!E$5,'IDF Distributions'!$A$1:$AB$1,0))*INDEX($N$5:$N$11,MATCH(E$6,$L$5:$L$11,0))*IF($E$2="Depth (mm)",(1),IF($E$2="Intensity (mm/hr)",12,0))</f>
        <v>0.76097056310666344</v>
      </c>
      <c r="F48" s="24">
        <f>INDEX('IDF Distributions'!$A$1:$AB$290,MATCH('Bulk Tool'!$A48,'IDF Distributions'!$A$1:$A$290,0),MATCH('Bulk Tool'!F$5,'IDF Distributions'!$A$1:$AB$1,0))*INDEX($N$5:$N$11,MATCH(F$6,$L$5:$L$11,0))*IF($E$2="Depth (mm)",(1),IF($E$2="Intensity (mm/hr)",12,0))</f>
        <v>0.86421705313624153</v>
      </c>
      <c r="G48" s="24">
        <f>INDEX('IDF Distributions'!$A$1:$AB$290,MATCH('Bulk Tool'!$A48,'IDF Distributions'!$A$1:$A$290,0),MATCH('Bulk Tool'!G$5,'IDF Distributions'!$A$1:$AB$1,0))*INDEX($N$5:$N$11,MATCH(G$6,$L$5:$L$11,0))*IF($E$2="Depth (mm)",(1),IF($E$2="Intensity (mm/hr)",12,0))</f>
        <v>0.97338502690911932</v>
      </c>
      <c r="H48" s="24">
        <f>INDEX('IDF Distributions'!$A$1:$AB$290,MATCH('Bulk Tool'!$A48,'IDF Distributions'!$A$1:$A$290,0),MATCH('Bulk Tool'!H$5,'IDF Distributions'!$A$1:$AB$1,0))*INDEX($N$5:$N$11,MATCH(H$6,$L$5:$L$11,0))*IF($E$2="Depth (mm)",(1),IF($E$2="Intensity (mm/hr)",12,0))</f>
        <v>1.0901331430759194</v>
      </c>
      <c r="I48" s="12" t="str">
        <f>IF(COUNTIF($H$7:H48,$H$7)&gt;1,"Do Not Copy","Copy")</f>
        <v>Copy</v>
      </c>
      <c r="L48"/>
      <c r="M48" s="2"/>
    </row>
    <row r="49" spans="1:13" x14ac:dyDescent="0.25">
      <c r="A49" s="128">
        <f t="shared" si="3"/>
        <v>0.14583333333333329</v>
      </c>
      <c r="B49" s="24">
        <f>INDEX('IDF Distributions'!$A$1:$AB$290,MATCH('Bulk Tool'!$A49,'IDF Distributions'!$A$1:$A$290,0),MATCH('Bulk Tool'!B$5,'IDF Distributions'!$A$1:$AB$1,0))*INDEX($N$5:$N$11,MATCH(B$6,$L$5:$L$11,0))*IF($E$2="Depth (mm)",(1),IF($E$2="Intensity (mm/hr)",12,0))</f>
        <v>0.41370244180547078</v>
      </c>
      <c r="C49" s="24">
        <f>INDEX('IDF Distributions'!$A$1:$AB$290,MATCH('Bulk Tool'!$A49,'IDF Distributions'!$A$1:$A$290,0),MATCH('Bulk Tool'!C$5,'IDF Distributions'!$A$1:$AB$1,0))*INDEX($N$5:$N$11,MATCH(C$6,$L$5:$L$11,0))*IF($E$2="Depth (mm)",(1),IF($E$2="Intensity (mm/hr)",12,0))</f>
        <v>0.55165752654488864</v>
      </c>
      <c r="D49" s="24">
        <f>INDEX('IDF Distributions'!$A$1:$AB$290,MATCH('Bulk Tool'!$A49,'IDF Distributions'!$A$1:$A$290,0),MATCH('Bulk Tool'!D$5,'IDF Distributions'!$A$1:$AB$1,0))*INDEX($N$5:$N$11,MATCH(D$6,$L$5:$L$11,0))*IF($E$2="Depth (mm)",(1),IF($E$2="Intensity (mm/hr)",12,0))</f>
        <v>0.64960835713847054</v>
      </c>
      <c r="E49" s="24">
        <f>INDEX('IDF Distributions'!$A$1:$AB$290,MATCH('Bulk Tool'!$A49,'IDF Distributions'!$A$1:$A$290,0),MATCH('Bulk Tool'!E$5,'IDF Distributions'!$A$1:$AB$1,0))*INDEX($N$5:$N$11,MATCH(E$6,$L$5:$L$11,0))*IF($E$2="Depth (mm)",(1),IF($E$2="Intensity (mm/hr)",12,0))</f>
        <v>0.78445730888155762</v>
      </c>
      <c r="F49" s="24">
        <f>INDEX('IDF Distributions'!$A$1:$AB$290,MATCH('Bulk Tool'!$A49,'IDF Distributions'!$A$1:$A$290,0),MATCH('Bulk Tool'!F$5,'IDF Distributions'!$A$1:$AB$1,0))*INDEX($N$5:$N$11,MATCH(F$6,$L$5:$L$11,0))*IF($E$2="Depth (mm)",(1),IF($E$2="Intensity (mm/hr)",12,0))</f>
        <v>0.89089041897377697</v>
      </c>
      <c r="G49" s="24">
        <f>INDEX('IDF Distributions'!$A$1:$AB$290,MATCH('Bulk Tool'!$A49,'IDF Distributions'!$A$1:$A$290,0),MATCH('Bulk Tool'!G$5,'IDF Distributions'!$A$1:$AB$1,0))*INDEX($N$5:$N$11,MATCH(G$6,$L$5:$L$11,0))*IF($E$2="Depth (mm)",(1),IF($E$2="Intensity (mm/hr)",12,0))</f>
        <v>1.0034277746532245</v>
      </c>
      <c r="H49" s="24">
        <f>INDEX('IDF Distributions'!$A$1:$AB$290,MATCH('Bulk Tool'!$A49,'IDF Distributions'!$A$1:$A$290,0),MATCH('Bulk Tool'!H$5,'IDF Distributions'!$A$1:$AB$1,0))*INDEX($N$5:$N$11,MATCH(H$6,$L$5:$L$11,0))*IF($E$2="Depth (mm)",(1),IF($E$2="Intensity (mm/hr)",12,0))</f>
        <v>1.1237792277387524</v>
      </c>
      <c r="I49" s="12" t="str">
        <f>IF(COUNTIF($H$7:H49,$H$7)&gt;1,"Do Not Copy","Copy")</f>
        <v>Copy</v>
      </c>
      <c r="L49"/>
      <c r="M49" s="2"/>
    </row>
    <row r="50" spans="1:13" x14ac:dyDescent="0.25">
      <c r="A50" s="128">
        <f t="shared" si="3"/>
        <v>0.1493055555555555</v>
      </c>
      <c r="B50" s="24">
        <f>INDEX('IDF Distributions'!$A$1:$AB$290,MATCH('Bulk Tool'!$A50,'IDF Distributions'!$A$1:$A$290,0),MATCH('Bulk Tool'!B$5,'IDF Distributions'!$A$1:$AB$1,0))*INDEX($N$5:$N$11,MATCH(B$6,$L$5:$L$11,0))*IF($E$2="Depth (mm)",(1),IF($E$2="Intensity (mm/hr)",12,0))</f>
        <v>0.43352052285004411</v>
      </c>
      <c r="C50" s="24">
        <f>INDEX('IDF Distributions'!$A$1:$AB$290,MATCH('Bulk Tool'!$A50,'IDF Distributions'!$A$1:$A$290,0),MATCH('Bulk Tool'!C$5,'IDF Distributions'!$A$1:$AB$1,0))*INDEX($N$5:$N$11,MATCH(C$6,$L$5:$L$11,0))*IF($E$2="Depth (mm)",(1),IF($E$2="Intensity (mm/hr)",12,0))</f>
        <v>0.57808423440332624</v>
      </c>
      <c r="D50" s="24">
        <f>INDEX('IDF Distributions'!$A$1:$AB$290,MATCH('Bulk Tool'!$A50,'IDF Distributions'!$A$1:$A$290,0),MATCH('Bulk Tool'!D$5,'IDF Distributions'!$A$1:$AB$1,0))*INDEX($N$5:$N$11,MATCH(D$6,$L$5:$L$11,0))*IF($E$2="Depth (mm)",(1),IF($E$2="Intensity (mm/hr)",12,0))</f>
        <v>0.68072732035468453</v>
      </c>
      <c r="E50" s="24">
        <f>INDEX('IDF Distributions'!$A$1:$AB$290,MATCH('Bulk Tool'!$A50,'IDF Distributions'!$A$1:$A$290,0),MATCH('Bulk Tool'!E$5,'IDF Distributions'!$A$1:$AB$1,0))*INDEX($N$5:$N$11,MATCH(E$6,$L$5:$L$11,0))*IF($E$2="Depth (mm)",(1),IF($E$2="Intensity (mm/hr)",12,0))</f>
        <v>0.82203610212139266</v>
      </c>
      <c r="F50" s="24">
        <f>INDEX('IDF Distributions'!$A$1:$AB$290,MATCH('Bulk Tool'!$A50,'IDF Distributions'!$A$1:$A$290,0),MATCH('Bulk Tool'!F$5,'IDF Distributions'!$A$1:$AB$1,0))*INDEX($N$5:$N$11,MATCH(F$6,$L$5:$L$11,0))*IF($E$2="Depth (mm)",(1),IF($E$2="Intensity (mm/hr)",12,0))</f>
        <v>0.93356780431383779</v>
      </c>
      <c r="G50" s="24">
        <f>INDEX('IDF Distributions'!$A$1:$AB$290,MATCH('Bulk Tool'!$A50,'IDF Distributions'!$A$1:$A$290,0),MATCH('Bulk Tool'!G$5,'IDF Distributions'!$A$1:$AB$1,0))*INDEX($N$5:$N$11,MATCH(G$6,$L$5:$L$11,0))*IF($E$2="Depth (mm)",(1),IF($E$2="Intensity (mm/hr)",12,0))</f>
        <v>1.051496171043798</v>
      </c>
      <c r="H50" s="24">
        <f>INDEX('IDF Distributions'!$A$1:$AB$290,MATCH('Bulk Tool'!$A50,'IDF Distributions'!$A$1:$A$290,0),MATCH('Bulk Tool'!H$5,'IDF Distributions'!$A$1:$AB$1,0))*INDEX($N$5:$N$11,MATCH(H$6,$L$5:$L$11,0))*IF($E$2="Depth (mm)",(1),IF($E$2="Intensity (mm/hr)",12,0))</f>
        <v>1.1776129631992911</v>
      </c>
      <c r="I50" s="12" t="str">
        <f>IF(COUNTIF($H$7:H50,$H$7)&gt;1,"Do Not Copy","Copy")</f>
        <v>Copy</v>
      </c>
      <c r="L50"/>
      <c r="M50" s="2"/>
    </row>
    <row r="51" spans="1:13" x14ac:dyDescent="0.25">
      <c r="A51" s="128">
        <f t="shared" si="3"/>
        <v>0.15277777777777771</v>
      </c>
      <c r="B51" s="24">
        <f>INDEX('IDF Distributions'!$A$1:$AB$290,MATCH('Bulk Tool'!$A51,'IDF Distributions'!$A$1:$A$290,0),MATCH('Bulk Tool'!B$5,'IDF Distributions'!$A$1:$AB$1,0))*INDEX($N$5:$N$11,MATCH(B$6,$L$5:$L$11,0))*IF($E$2="Depth (mm)",(1),IF($E$2="Intensity (mm/hr)",12,0))</f>
        <v>0.44590682350290123</v>
      </c>
      <c r="C51" s="24">
        <f>INDEX('IDF Distributions'!$A$1:$AB$290,MATCH('Bulk Tool'!$A51,'IDF Distributions'!$A$1:$A$290,0),MATCH('Bulk Tool'!C$5,'IDF Distributions'!$A$1:$AB$1,0))*INDEX($N$5:$N$11,MATCH(C$6,$L$5:$L$11,0))*IF($E$2="Depth (mm)",(1),IF($E$2="Intensity (mm/hr)",12,0))</f>
        <v>0.594600926814848</v>
      </c>
      <c r="D51" s="24">
        <f>INDEX('IDF Distributions'!$A$1:$AB$290,MATCH('Bulk Tool'!$A51,'IDF Distributions'!$A$1:$A$290,0),MATCH('Bulk Tool'!D$5,'IDF Distributions'!$A$1:$AB$1,0))*INDEX($N$5:$N$11,MATCH(D$6,$L$5:$L$11,0))*IF($E$2="Depth (mm)",(1),IF($E$2="Intensity (mm/hr)",12,0))</f>
        <v>0.70017667236481629</v>
      </c>
      <c r="E51" s="24">
        <f>INDEX('IDF Distributions'!$A$1:$AB$290,MATCH('Bulk Tool'!$A51,'IDF Distributions'!$A$1:$A$290,0),MATCH('Bulk Tool'!E$5,'IDF Distributions'!$A$1:$AB$1,0))*INDEX($N$5:$N$11,MATCH(E$6,$L$5:$L$11,0))*IF($E$2="Depth (mm)",(1),IF($E$2="Intensity (mm/hr)",12,0))</f>
        <v>0.84552284789628707</v>
      </c>
      <c r="F51" s="24">
        <f>INDEX('IDF Distributions'!$A$1:$AB$290,MATCH('Bulk Tool'!$A51,'IDF Distributions'!$A$1:$A$290,0),MATCH('Bulk Tool'!F$5,'IDF Distributions'!$A$1:$AB$1,0))*INDEX($N$5:$N$11,MATCH(F$6,$L$5:$L$11,0))*IF($E$2="Depth (mm)",(1),IF($E$2="Intensity (mm/hr)",12,0))</f>
        <v>0.96024117015137311</v>
      </c>
      <c r="G51" s="24">
        <f>INDEX('IDF Distributions'!$A$1:$AB$290,MATCH('Bulk Tool'!$A51,'IDF Distributions'!$A$1:$A$290,0),MATCH('Bulk Tool'!G$5,'IDF Distributions'!$A$1:$AB$1,0))*INDEX($N$5:$N$11,MATCH(G$6,$L$5:$L$11,0))*IF($E$2="Depth (mm)",(1),IF($E$2="Intensity (mm/hr)",12,0))</f>
        <v>1.0815389187879032</v>
      </c>
      <c r="H51" s="24">
        <f>INDEX('IDF Distributions'!$A$1:$AB$290,MATCH('Bulk Tool'!$A51,'IDF Distributions'!$A$1:$A$290,0),MATCH('Bulk Tool'!H$5,'IDF Distributions'!$A$1:$AB$1,0))*INDEX($N$5:$N$11,MATCH(H$6,$L$5:$L$11,0))*IF($E$2="Depth (mm)",(1),IF($E$2="Intensity (mm/hr)",12,0))</f>
        <v>1.2112590478621243</v>
      </c>
      <c r="I51" s="12" t="str">
        <f>IF(COUNTIF($H$7:H51,$H$7)&gt;1,"Do Not Copy","Copy")</f>
        <v>Copy</v>
      </c>
      <c r="L51"/>
      <c r="M51" s="2"/>
    </row>
    <row r="52" spans="1:13" x14ac:dyDescent="0.25">
      <c r="A52" s="128">
        <f t="shared" si="3"/>
        <v>0.15624999999999992</v>
      </c>
      <c r="B52" s="24">
        <f>INDEX('IDF Distributions'!$A$1:$AB$290,MATCH('Bulk Tool'!$A52,'IDF Distributions'!$A$1:$A$290,0),MATCH('Bulk Tool'!B$5,'IDF Distributions'!$A$1:$AB$1,0))*INDEX($N$5:$N$11,MATCH(B$6,$L$5:$L$11,0))*IF($E$2="Depth (mm)",(1),IF($E$2="Intensity (mm/hr)",12,0))</f>
        <v>0.43599778298061764</v>
      </c>
      <c r="C52" s="24">
        <f>INDEX('IDF Distributions'!$A$1:$AB$290,MATCH('Bulk Tool'!$A52,'IDF Distributions'!$A$1:$A$290,0),MATCH('Bulk Tool'!C$5,'IDF Distributions'!$A$1:$AB$1,0))*INDEX($N$5:$N$11,MATCH(C$6,$L$5:$L$11,0))*IF($E$2="Depth (mm)",(1),IF($E$2="Intensity (mm/hr)",12,0))</f>
        <v>0.58138757288563336</v>
      </c>
      <c r="D52" s="24">
        <f>INDEX('IDF Distributions'!$A$1:$AB$290,MATCH('Bulk Tool'!$A52,'IDF Distributions'!$A$1:$A$290,0),MATCH('Bulk Tool'!D$5,'IDF Distributions'!$A$1:$AB$1,0))*INDEX($N$5:$N$11,MATCH(D$6,$L$5:$L$11,0))*IF($E$2="Depth (mm)",(1),IF($E$2="Intensity (mm/hr)",12,0))</f>
        <v>0.68461719075671412</v>
      </c>
      <c r="E52" s="24">
        <f>INDEX('IDF Distributions'!$A$1:$AB$290,MATCH('Bulk Tool'!$A52,'IDF Distributions'!$A$1:$A$290,0),MATCH('Bulk Tool'!E$5,'IDF Distributions'!$A$1:$AB$1,0))*INDEX($N$5:$N$11,MATCH(E$6,$L$5:$L$11,0))*IF($E$2="Depth (mm)",(1),IF($E$2="Intensity (mm/hr)",12,0))</f>
        <v>0.82673345127637543</v>
      </c>
      <c r="F52" s="24">
        <f>INDEX('IDF Distributions'!$A$1:$AB$290,MATCH('Bulk Tool'!$A52,'IDF Distributions'!$A$1:$A$290,0),MATCH('Bulk Tool'!F$5,'IDF Distributions'!$A$1:$AB$1,0))*INDEX($N$5:$N$11,MATCH(F$6,$L$5:$L$11,0))*IF($E$2="Depth (mm)",(1),IF($E$2="Intensity (mm/hr)",12,0))</f>
        <v>0.93890247748134925</v>
      </c>
      <c r="G52" s="24">
        <f>INDEX('IDF Distributions'!$A$1:$AB$290,MATCH('Bulk Tool'!$A52,'IDF Distributions'!$A$1:$A$290,0),MATCH('Bulk Tool'!G$5,'IDF Distributions'!$A$1:$AB$1,0))*INDEX($N$5:$N$11,MATCH(G$6,$L$5:$L$11,0))*IF($E$2="Depth (mm)",(1),IF($E$2="Intensity (mm/hr)",12,0))</f>
        <v>1.057504720592624</v>
      </c>
      <c r="H52" s="24">
        <f>INDEX('IDF Distributions'!$A$1:$AB$290,MATCH('Bulk Tool'!$A52,'IDF Distributions'!$A$1:$A$290,0),MATCH('Bulk Tool'!H$5,'IDF Distributions'!$A$1:$AB$1,0))*INDEX($N$5:$N$11,MATCH(H$6,$L$5:$L$11,0))*IF($E$2="Depth (mm)",(1),IF($E$2="Intensity (mm/hr)",12,0))</f>
        <v>1.1843421801318634</v>
      </c>
      <c r="I52" s="12" t="str">
        <f>IF(COUNTIF($H$7:H52,$H$7)&gt;1,"Do Not Copy","Copy")</f>
        <v>Copy</v>
      </c>
      <c r="L52"/>
      <c r="M52" s="2"/>
    </row>
    <row r="53" spans="1:13" x14ac:dyDescent="0.25">
      <c r="A53" s="128">
        <f t="shared" si="3"/>
        <v>0.15972222222222213</v>
      </c>
      <c r="B53" s="24">
        <f>INDEX('IDF Distributions'!$A$1:$AB$290,MATCH('Bulk Tool'!$A53,'IDF Distributions'!$A$1:$A$290,0),MATCH('Bulk Tool'!B$5,'IDF Distributions'!$A$1:$AB$1,0))*INDEX($N$5:$N$11,MATCH(B$6,$L$5:$L$11,0))*IF($E$2="Depth (mm)",(1),IF($E$2="Intensity (mm/hr)",12,0))</f>
        <v>0.4483840836334726</v>
      </c>
      <c r="C53" s="24">
        <f>INDEX('IDF Distributions'!$A$1:$AB$290,MATCH('Bulk Tool'!$A53,'IDF Distributions'!$A$1:$A$290,0),MATCH('Bulk Tool'!C$5,'IDF Distributions'!$A$1:$AB$1,0))*INDEX($N$5:$N$11,MATCH(C$6,$L$5:$L$11,0))*IF($E$2="Depth (mm)",(1),IF($E$2="Intensity (mm/hr)",12,0))</f>
        <v>0.59790426529715246</v>
      </c>
      <c r="D53" s="24">
        <f>INDEX('IDF Distributions'!$A$1:$AB$290,MATCH('Bulk Tool'!$A53,'IDF Distributions'!$A$1:$A$290,0),MATCH('Bulk Tool'!D$5,'IDF Distributions'!$A$1:$AB$1,0))*INDEX($N$5:$N$11,MATCH(D$6,$L$5:$L$11,0))*IF($E$2="Depth (mm)",(1),IF($E$2="Intensity (mm/hr)",12,0))</f>
        <v>0.70406654276684266</v>
      </c>
      <c r="E53" s="24">
        <f>INDEX('IDF Distributions'!$A$1:$AB$290,MATCH('Bulk Tool'!$A53,'IDF Distributions'!$A$1:$A$290,0),MATCH('Bulk Tool'!E$5,'IDF Distributions'!$A$1:$AB$1,0))*INDEX($N$5:$N$11,MATCH(E$6,$L$5:$L$11,0))*IF($E$2="Depth (mm)",(1),IF($E$2="Intensity (mm/hr)",12,0))</f>
        <v>0.85022019705126595</v>
      </c>
      <c r="F53" s="24">
        <f>INDEX('IDF Distributions'!$A$1:$AB$290,MATCH('Bulk Tool'!$A53,'IDF Distributions'!$A$1:$A$290,0),MATCH('Bulk Tool'!F$5,'IDF Distributions'!$A$1:$AB$1,0))*INDEX($N$5:$N$11,MATCH(F$6,$L$5:$L$11,0))*IF($E$2="Depth (mm)",(1),IF($E$2="Intensity (mm/hr)",12,0))</f>
        <v>0.96557584331888013</v>
      </c>
      <c r="G53" s="24">
        <f>INDEX('IDF Distributions'!$A$1:$AB$290,MATCH('Bulk Tool'!$A53,'IDF Distributions'!$A$1:$A$290,0),MATCH('Bulk Tool'!G$5,'IDF Distributions'!$A$1:$AB$1,0))*INDEX($N$5:$N$11,MATCH(G$6,$L$5:$L$11,0))*IF($E$2="Depth (mm)",(1),IF($E$2="Intensity (mm/hr)",12,0))</f>
        <v>1.0875474683367243</v>
      </c>
      <c r="H53" s="24">
        <f>INDEX('IDF Distributions'!$A$1:$AB$290,MATCH('Bulk Tool'!$A53,'IDF Distributions'!$A$1:$A$290,0),MATCH('Bulk Tool'!H$5,'IDF Distributions'!$A$1:$AB$1,0))*INDEX($N$5:$N$11,MATCH(H$6,$L$5:$L$11,0))*IF($E$2="Depth (mm)",(1),IF($E$2="Intensity (mm/hr)",12,0))</f>
        <v>1.2179882647946909</v>
      </c>
      <c r="I53" s="12" t="str">
        <f>IF(COUNTIF($H$7:H53,$H$7)&gt;1,"Do Not Copy","Copy")</f>
        <v>Copy</v>
      </c>
      <c r="L53"/>
      <c r="M53" s="2"/>
    </row>
    <row r="54" spans="1:13" x14ac:dyDescent="0.25">
      <c r="A54" s="128">
        <f t="shared" si="3"/>
        <v>0.16319444444444434</v>
      </c>
      <c r="B54" s="24">
        <f>INDEX('IDF Distributions'!$A$1:$AB$290,MATCH('Bulk Tool'!$A54,'IDF Distributions'!$A$1:$A$290,0),MATCH('Bulk Tool'!B$5,'IDF Distributions'!$A$1:$AB$1,0))*INDEX($N$5:$N$11,MATCH(B$6,$L$5:$L$11,0))*IF($E$2="Depth (mm)",(1),IF($E$2="Intensity (mm/hr)",12,0))</f>
        <v>0.45829312415576234</v>
      </c>
      <c r="C54" s="24">
        <f>INDEX('IDF Distributions'!$A$1:$AB$290,MATCH('Bulk Tool'!$A54,'IDF Distributions'!$A$1:$A$290,0),MATCH('Bulk Tool'!C$5,'IDF Distributions'!$A$1:$AB$1,0))*INDEX($N$5:$N$11,MATCH(C$6,$L$5:$L$11,0))*IF($E$2="Depth (mm)",(1),IF($E$2="Intensity (mm/hr)",12,0))</f>
        <v>0.61111761922637531</v>
      </c>
      <c r="D54" s="24">
        <f>INDEX('IDF Distributions'!$A$1:$AB$290,MATCH('Bulk Tool'!$A54,'IDF Distributions'!$A$1:$A$290,0),MATCH('Bulk Tool'!D$5,'IDF Distributions'!$A$1:$AB$1,0))*INDEX($N$5:$N$11,MATCH(D$6,$L$5:$L$11,0))*IF($E$2="Depth (mm)",(1),IF($E$2="Intensity (mm/hr)",12,0))</f>
        <v>0.71962602437495449</v>
      </c>
      <c r="E54" s="24">
        <f>INDEX('IDF Distributions'!$A$1:$AB$290,MATCH('Bulk Tool'!$A54,'IDF Distributions'!$A$1:$A$290,0),MATCH('Bulk Tool'!E$5,'IDF Distributions'!$A$1:$AB$1,0))*INDEX($N$5:$N$11,MATCH(E$6,$L$5:$L$11,0))*IF($E$2="Depth (mm)",(1),IF($E$2="Intensity (mm/hr)",12,0))</f>
        <v>0.86900959367118924</v>
      </c>
      <c r="F54" s="24">
        <f>INDEX('IDF Distributions'!$A$1:$AB$290,MATCH('Bulk Tool'!$A54,'IDF Distributions'!$A$1:$A$290,0),MATCH('Bulk Tool'!F$5,'IDF Distributions'!$A$1:$AB$1,0))*INDEX($N$5:$N$11,MATCH(F$6,$L$5:$L$11,0))*IF($E$2="Depth (mm)",(1),IF($E$2="Intensity (mm/hr)",12,0))</f>
        <v>0.98691453598891732</v>
      </c>
      <c r="G54" s="24">
        <f>INDEX('IDF Distributions'!$A$1:$AB$290,MATCH('Bulk Tool'!$A54,'IDF Distributions'!$A$1:$A$290,0),MATCH('Bulk Tool'!G$5,'IDF Distributions'!$A$1:$AB$1,0))*INDEX($N$5:$N$11,MATCH(G$6,$L$5:$L$11,0))*IF($E$2="Depth (mm)",(1),IF($E$2="Intensity (mm/hr)",12,0))</f>
        <v>1.1115816665320184</v>
      </c>
      <c r="H54" s="24">
        <f>INDEX('IDF Distributions'!$A$1:$AB$290,MATCH('Bulk Tool'!$A54,'IDF Distributions'!$A$1:$A$290,0),MATCH('Bulk Tool'!H$5,'IDF Distributions'!$A$1:$AB$1,0))*INDEX($N$5:$N$11,MATCH(H$6,$L$5:$L$11,0))*IF($E$2="Depth (mm)",(1),IF($E$2="Intensity (mm/hr)",12,0))</f>
        <v>1.2449051325249689</v>
      </c>
      <c r="I54" s="12" t="str">
        <f>IF(COUNTIF($H$7:H54,$H$7)&gt;1,"Do Not Copy","Copy")</f>
        <v>Copy</v>
      </c>
      <c r="L54"/>
      <c r="M54" s="2"/>
    </row>
    <row r="55" spans="1:13" x14ac:dyDescent="0.25">
      <c r="A55" s="128">
        <f t="shared" si="3"/>
        <v>0.16666666666666655</v>
      </c>
      <c r="B55" s="24">
        <f>INDEX('IDF Distributions'!$A$1:$AB$290,MATCH('Bulk Tool'!$A55,'IDF Distributions'!$A$1:$A$290,0),MATCH('Bulk Tool'!B$5,'IDF Distributions'!$A$1:$AB$1,0))*INDEX($N$5:$N$11,MATCH(B$6,$L$5:$L$11,0))*IF($E$2="Depth (mm)",(1),IF($E$2="Intensity (mm/hr)",12,0))</f>
        <v>0.45829312415576234</v>
      </c>
      <c r="C55" s="24">
        <f>INDEX('IDF Distributions'!$A$1:$AB$290,MATCH('Bulk Tool'!$A55,'IDF Distributions'!$A$1:$A$290,0),MATCH('Bulk Tool'!C$5,'IDF Distributions'!$A$1:$AB$1,0))*INDEX($N$5:$N$11,MATCH(C$6,$L$5:$L$11,0))*IF($E$2="Depth (mm)",(1),IF($E$2="Intensity (mm/hr)",12,0))</f>
        <v>0.61111761922637531</v>
      </c>
      <c r="D55" s="24">
        <f>INDEX('IDF Distributions'!$A$1:$AB$290,MATCH('Bulk Tool'!$A55,'IDF Distributions'!$A$1:$A$290,0),MATCH('Bulk Tool'!D$5,'IDF Distributions'!$A$1:$AB$1,0))*INDEX($N$5:$N$11,MATCH(D$6,$L$5:$L$11,0))*IF($E$2="Depth (mm)",(1),IF($E$2="Intensity (mm/hr)",12,0))</f>
        <v>0.71962602437495449</v>
      </c>
      <c r="E55" s="24">
        <f>INDEX('IDF Distributions'!$A$1:$AB$290,MATCH('Bulk Tool'!$A55,'IDF Distributions'!$A$1:$A$290,0),MATCH('Bulk Tool'!E$5,'IDF Distributions'!$A$1:$AB$1,0))*INDEX($N$5:$N$11,MATCH(E$6,$L$5:$L$11,0))*IF($E$2="Depth (mm)",(1),IF($E$2="Intensity (mm/hr)",12,0))</f>
        <v>0.86900959367118924</v>
      </c>
      <c r="F55" s="24">
        <f>INDEX('IDF Distributions'!$A$1:$AB$290,MATCH('Bulk Tool'!$A55,'IDF Distributions'!$A$1:$A$290,0),MATCH('Bulk Tool'!F$5,'IDF Distributions'!$A$1:$AB$1,0))*INDEX($N$5:$N$11,MATCH(F$6,$L$5:$L$11,0))*IF($E$2="Depth (mm)",(1),IF($E$2="Intensity (mm/hr)",12,0))</f>
        <v>0.98691453598891732</v>
      </c>
      <c r="G55" s="24">
        <f>INDEX('IDF Distributions'!$A$1:$AB$290,MATCH('Bulk Tool'!$A55,'IDF Distributions'!$A$1:$A$290,0),MATCH('Bulk Tool'!G$5,'IDF Distributions'!$A$1:$AB$1,0))*INDEX($N$5:$N$11,MATCH(G$6,$L$5:$L$11,0))*IF($E$2="Depth (mm)",(1),IF($E$2="Intensity (mm/hr)",12,0))</f>
        <v>1.1115816665320184</v>
      </c>
      <c r="H55" s="24">
        <f>INDEX('IDF Distributions'!$A$1:$AB$290,MATCH('Bulk Tool'!$A55,'IDF Distributions'!$A$1:$A$290,0),MATCH('Bulk Tool'!H$5,'IDF Distributions'!$A$1:$AB$1,0))*INDEX($N$5:$N$11,MATCH(H$6,$L$5:$L$11,0))*IF($E$2="Depth (mm)",(1),IF($E$2="Intensity (mm/hr)",12,0))</f>
        <v>1.2449051325249689</v>
      </c>
      <c r="I55" s="12" t="str">
        <f>IF(COUNTIF($H$7:H55,$H$7)&gt;1,"Do Not Copy","Copy")</f>
        <v>Copy</v>
      </c>
      <c r="L55"/>
      <c r="M55" s="2"/>
    </row>
    <row r="56" spans="1:13" x14ac:dyDescent="0.25">
      <c r="A56" s="128">
        <f t="shared" si="3"/>
        <v>0.17013888888888876</v>
      </c>
      <c r="B56" s="24">
        <f>INDEX('IDF Distributions'!$A$1:$AB$290,MATCH('Bulk Tool'!$A56,'IDF Distributions'!$A$1:$A$290,0),MATCH('Bulk Tool'!B$5,'IDF Distributions'!$A$1:$AB$1,0))*INDEX($N$5:$N$11,MATCH(B$6,$L$5:$L$11,0))*IF($E$2="Depth (mm)",(1),IF($E$2="Intensity (mm/hr)",12,0))</f>
        <v>0.45829312415576035</v>
      </c>
      <c r="C56" s="24">
        <f>INDEX('IDF Distributions'!$A$1:$AB$290,MATCH('Bulk Tool'!$A56,'IDF Distributions'!$A$1:$A$290,0),MATCH('Bulk Tool'!C$5,'IDF Distributions'!$A$1:$AB$1,0))*INDEX($N$5:$N$11,MATCH(C$6,$L$5:$L$11,0))*IF($E$2="Depth (mm)",(1),IF($E$2="Intensity (mm/hr)",12,0))</f>
        <v>0.61111761922637253</v>
      </c>
      <c r="D56" s="24">
        <f>INDEX('IDF Distributions'!$A$1:$AB$290,MATCH('Bulk Tool'!$A56,'IDF Distributions'!$A$1:$A$290,0),MATCH('Bulk Tool'!D$5,'IDF Distributions'!$A$1:$AB$1,0))*INDEX($N$5:$N$11,MATCH(D$6,$L$5:$L$11,0))*IF($E$2="Depth (mm)",(1),IF($E$2="Intensity (mm/hr)",12,0))</f>
        <v>0.71962602437495127</v>
      </c>
      <c r="E56" s="24">
        <f>INDEX('IDF Distributions'!$A$1:$AB$290,MATCH('Bulk Tool'!$A56,'IDF Distributions'!$A$1:$A$290,0),MATCH('Bulk Tool'!E$5,'IDF Distributions'!$A$1:$AB$1,0))*INDEX($N$5:$N$11,MATCH(E$6,$L$5:$L$11,0))*IF($E$2="Depth (mm)",(1),IF($E$2="Intensity (mm/hr)",12,0))</f>
        <v>0.86900959367118535</v>
      </c>
      <c r="F56" s="24">
        <f>INDEX('IDF Distributions'!$A$1:$AB$290,MATCH('Bulk Tool'!$A56,'IDF Distributions'!$A$1:$A$290,0),MATCH('Bulk Tool'!F$5,'IDF Distributions'!$A$1:$AB$1,0))*INDEX($N$5:$N$11,MATCH(F$6,$L$5:$L$11,0))*IF($E$2="Depth (mm)",(1),IF($E$2="Intensity (mm/hr)",12,0))</f>
        <v>0.98691453598891288</v>
      </c>
      <c r="G56" s="24">
        <f>INDEX('IDF Distributions'!$A$1:$AB$290,MATCH('Bulk Tool'!$A56,'IDF Distributions'!$A$1:$A$290,0),MATCH('Bulk Tool'!G$5,'IDF Distributions'!$A$1:$AB$1,0))*INDEX($N$5:$N$11,MATCH(G$6,$L$5:$L$11,0))*IF($E$2="Depth (mm)",(1),IF($E$2="Intensity (mm/hr)",12,0))</f>
        <v>1.1115816665320133</v>
      </c>
      <c r="H56" s="24">
        <f>INDEX('IDF Distributions'!$A$1:$AB$290,MATCH('Bulk Tool'!$A56,'IDF Distributions'!$A$1:$A$290,0),MATCH('Bulk Tool'!H$5,'IDF Distributions'!$A$1:$AB$1,0))*INDEX($N$5:$N$11,MATCH(H$6,$L$5:$L$11,0))*IF($E$2="Depth (mm)",(1),IF($E$2="Intensity (mm/hr)",12,0))</f>
        <v>1.2449051325249632</v>
      </c>
      <c r="I56" s="12" t="str">
        <f>IF(COUNTIF($H$7:H56,$H$7)&gt;1,"Do Not Copy","Copy")</f>
        <v>Copy</v>
      </c>
      <c r="L56"/>
      <c r="M56" s="2"/>
    </row>
    <row r="57" spans="1:13" x14ac:dyDescent="0.25">
      <c r="A57" s="128">
        <f t="shared" si="3"/>
        <v>0.17361111111111097</v>
      </c>
      <c r="B57" s="24">
        <f>INDEX('IDF Distributions'!$A$1:$AB$290,MATCH('Bulk Tool'!$A57,'IDF Distributions'!$A$1:$A$290,0),MATCH('Bulk Tool'!B$5,'IDF Distributions'!$A$1:$AB$1,0))*INDEX($N$5:$N$11,MATCH(B$6,$L$5:$L$11,0))*IF($E$2="Depth (mm)",(1),IF($E$2="Intensity (mm/hr)",12,0))</f>
        <v>0.45829312415576035</v>
      </c>
      <c r="C57" s="24">
        <f>INDEX('IDF Distributions'!$A$1:$AB$290,MATCH('Bulk Tool'!$A57,'IDF Distributions'!$A$1:$A$290,0),MATCH('Bulk Tool'!C$5,'IDF Distributions'!$A$1:$AB$1,0))*INDEX($N$5:$N$11,MATCH(C$6,$L$5:$L$11,0))*IF($E$2="Depth (mm)",(1),IF($E$2="Intensity (mm/hr)",12,0))</f>
        <v>0.61111761922637253</v>
      </c>
      <c r="D57" s="24">
        <f>INDEX('IDF Distributions'!$A$1:$AB$290,MATCH('Bulk Tool'!$A57,'IDF Distributions'!$A$1:$A$290,0),MATCH('Bulk Tool'!D$5,'IDF Distributions'!$A$1:$AB$1,0))*INDEX($N$5:$N$11,MATCH(D$6,$L$5:$L$11,0))*IF($E$2="Depth (mm)",(1),IF($E$2="Intensity (mm/hr)",12,0))</f>
        <v>0.71962602437495127</v>
      </c>
      <c r="E57" s="24">
        <f>INDEX('IDF Distributions'!$A$1:$AB$290,MATCH('Bulk Tool'!$A57,'IDF Distributions'!$A$1:$A$290,0),MATCH('Bulk Tool'!E$5,'IDF Distributions'!$A$1:$AB$1,0))*INDEX($N$5:$N$11,MATCH(E$6,$L$5:$L$11,0))*IF($E$2="Depth (mm)",(1),IF($E$2="Intensity (mm/hr)",12,0))</f>
        <v>0.86900959367118535</v>
      </c>
      <c r="F57" s="24">
        <f>INDEX('IDF Distributions'!$A$1:$AB$290,MATCH('Bulk Tool'!$A57,'IDF Distributions'!$A$1:$A$290,0),MATCH('Bulk Tool'!F$5,'IDF Distributions'!$A$1:$AB$1,0))*INDEX($N$5:$N$11,MATCH(F$6,$L$5:$L$11,0))*IF($E$2="Depth (mm)",(1),IF($E$2="Intensity (mm/hr)",12,0))</f>
        <v>0.98691453598891288</v>
      </c>
      <c r="G57" s="24">
        <f>INDEX('IDF Distributions'!$A$1:$AB$290,MATCH('Bulk Tool'!$A57,'IDF Distributions'!$A$1:$A$290,0),MATCH('Bulk Tool'!G$5,'IDF Distributions'!$A$1:$AB$1,0))*INDEX($N$5:$N$11,MATCH(G$6,$L$5:$L$11,0))*IF($E$2="Depth (mm)",(1),IF($E$2="Intensity (mm/hr)",12,0))</f>
        <v>1.1115816665320133</v>
      </c>
      <c r="H57" s="24">
        <f>INDEX('IDF Distributions'!$A$1:$AB$290,MATCH('Bulk Tool'!$A57,'IDF Distributions'!$A$1:$A$290,0),MATCH('Bulk Tool'!H$5,'IDF Distributions'!$A$1:$AB$1,0))*INDEX($N$5:$N$11,MATCH(H$6,$L$5:$L$11,0))*IF($E$2="Depth (mm)",(1),IF($E$2="Intensity (mm/hr)",12,0))</f>
        <v>1.2449051325249632</v>
      </c>
      <c r="I57" s="12" t="str">
        <f>IF(COUNTIF($H$7:H57,$H$7)&gt;1,"Do Not Copy","Copy")</f>
        <v>Copy</v>
      </c>
      <c r="L57"/>
      <c r="M57" s="2"/>
    </row>
    <row r="58" spans="1:13" x14ac:dyDescent="0.25">
      <c r="A58" s="128">
        <f t="shared" si="3"/>
        <v>0.17708333333333318</v>
      </c>
      <c r="B58" s="24">
        <f>INDEX('IDF Distributions'!$A$1:$AB$290,MATCH('Bulk Tool'!$A58,'IDF Distributions'!$A$1:$A$290,0),MATCH('Bulk Tool'!B$5,'IDF Distributions'!$A$1:$AB$1,0))*INDEX($N$5:$N$11,MATCH(B$6,$L$5:$L$11,0))*IF($E$2="Depth (mm)",(1),IF($E$2="Intensity (mm/hr)",12,0))</f>
        <v>0.46820216467805004</v>
      </c>
      <c r="C58" s="24">
        <f>INDEX('IDF Distributions'!$A$1:$AB$290,MATCH('Bulk Tool'!$A58,'IDF Distributions'!$A$1:$A$290,0),MATCH('Bulk Tool'!C$5,'IDF Distributions'!$A$1:$AB$1,0))*INDEX($N$5:$N$11,MATCH(C$6,$L$5:$L$11,0))*IF($E$2="Depth (mm)",(1),IF($E$2="Intensity (mm/hr)",12,0))</f>
        <v>0.62433097315559549</v>
      </c>
      <c r="D58" s="24">
        <f>INDEX('IDF Distributions'!$A$1:$AB$290,MATCH('Bulk Tool'!$A58,'IDF Distributions'!$A$1:$A$290,0),MATCH('Bulk Tool'!D$5,'IDF Distributions'!$A$1:$AB$1,0))*INDEX($N$5:$N$11,MATCH(D$6,$L$5:$L$11,0))*IF($E$2="Depth (mm)",(1),IF($E$2="Intensity (mm/hr)",12,0))</f>
        <v>0.73518550598306309</v>
      </c>
      <c r="E58" s="24">
        <f>INDEX('IDF Distributions'!$A$1:$AB$290,MATCH('Bulk Tool'!$A58,'IDF Distributions'!$A$1:$A$290,0),MATCH('Bulk Tool'!E$5,'IDF Distributions'!$A$1:$AB$1,0))*INDEX($N$5:$N$11,MATCH(E$6,$L$5:$L$11,0))*IF($E$2="Depth (mm)",(1),IF($E$2="Intensity (mm/hr)",12,0))</f>
        <v>0.88779899029110865</v>
      </c>
      <c r="F58" s="24">
        <f>INDEX('IDF Distributions'!$A$1:$AB$290,MATCH('Bulk Tool'!$A58,'IDF Distributions'!$A$1:$A$290,0),MATCH('Bulk Tool'!F$5,'IDF Distributions'!$A$1:$AB$1,0))*INDEX($N$5:$N$11,MATCH(F$6,$L$5:$L$11,0))*IF($E$2="Depth (mm)",(1),IF($E$2="Intensity (mm/hr)",12,0))</f>
        <v>1.0082532286589501</v>
      </c>
      <c r="G58" s="24">
        <f>INDEX('IDF Distributions'!$A$1:$AB$290,MATCH('Bulk Tool'!$A58,'IDF Distributions'!$A$1:$A$290,0),MATCH('Bulk Tool'!G$5,'IDF Distributions'!$A$1:$AB$1,0))*INDEX($N$5:$N$11,MATCH(G$6,$L$5:$L$11,0))*IF($E$2="Depth (mm)",(1),IF($E$2="Intensity (mm/hr)",12,0))</f>
        <v>1.1356158647273076</v>
      </c>
      <c r="H58" s="24">
        <f>INDEX('IDF Distributions'!$A$1:$AB$290,MATCH('Bulk Tool'!$A58,'IDF Distributions'!$A$1:$A$290,0),MATCH('Bulk Tool'!H$5,'IDF Distributions'!$A$1:$AB$1,0))*INDEX($N$5:$N$11,MATCH(H$6,$L$5:$L$11,0))*IF($E$2="Depth (mm)",(1),IF($E$2="Intensity (mm/hr)",12,0))</f>
        <v>1.2718220002552409</v>
      </c>
      <c r="I58" s="12" t="str">
        <f>IF(COUNTIF($H$7:H58,$H$7)&gt;1,"Do Not Copy","Copy")</f>
        <v>Copy</v>
      </c>
      <c r="L58"/>
      <c r="M58" s="2"/>
    </row>
    <row r="59" spans="1:13" x14ac:dyDescent="0.25">
      <c r="A59" s="128">
        <f t="shared" si="3"/>
        <v>0.18055555555555539</v>
      </c>
      <c r="B59" s="24">
        <f>INDEX('IDF Distributions'!$A$1:$AB$290,MATCH('Bulk Tool'!$A59,'IDF Distributions'!$A$1:$A$290,0),MATCH('Bulk Tool'!B$5,'IDF Distributions'!$A$1:$AB$1,0))*INDEX($N$5:$N$11,MATCH(B$6,$L$5:$L$11,0))*IF($E$2="Depth (mm)",(1),IF($E$2="Intensity (mm/hr)",12,0))</f>
        <v>0.47811120520033157</v>
      </c>
      <c r="C59" s="24">
        <f>INDEX('IDF Distributions'!$A$1:$AB$290,MATCH('Bulk Tool'!$A59,'IDF Distributions'!$A$1:$A$290,0),MATCH('Bulk Tool'!C$5,'IDF Distributions'!$A$1:$AB$1,0))*INDEX($N$5:$N$11,MATCH(C$6,$L$5:$L$11,0))*IF($E$2="Depth (mm)",(1),IF($E$2="Intensity (mm/hr)",12,0))</f>
        <v>0.63754432708480746</v>
      </c>
      <c r="D59" s="24">
        <f>INDEX('IDF Distributions'!$A$1:$AB$290,MATCH('Bulk Tool'!$A59,'IDF Distributions'!$A$1:$A$290,0),MATCH('Bulk Tool'!D$5,'IDF Distributions'!$A$1:$AB$1,0))*INDEX($N$5:$N$11,MATCH(D$6,$L$5:$L$11,0))*IF($E$2="Depth (mm)",(1),IF($E$2="Intensity (mm/hr)",12,0))</f>
        <v>0.75074498759116193</v>
      </c>
      <c r="E59" s="24">
        <f>INDEX('IDF Distributions'!$A$1:$AB$290,MATCH('Bulk Tool'!$A59,'IDF Distributions'!$A$1:$A$290,0),MATCH('Bulk Tool'!E$5,'IDF Distributions'!$A$1:$AB$1,0))*INDEX($N$5:$N$11,MATCH(E$6,$L$5:$L$11,0))*IF($E$2="Depth (mm)",(1),IF($E$2="Intensity (mm/hr)",12,0))</f>
        <v>0.90658838691101629</v>
      </c>
      <c r="F59" s="24">
        <f>INDEX('IDF Distributions'!$A$1:$AB$290,MATCH('Bulk Tool'!$A59,'IDF Distributions'!$A$1:$A$290,0),MATCH('Bulk Tool'!F$5,'IDF Distributions'!$A$1:$AB$1,0))*INDEX($N$5:$N$11,MATCH(F$6,$L$5:$L$11,0))*IF($E$2="Depth (mm)",(1),IF($E$2="Intensity (mm/hr)",12,0))</f>
        <v>1.0295919213289695</v>
      </c>
      <c r="G59" s="24">
        <f>INDEX('IDF Distributions'!$A$1:$AB$290,MATCH('Bulk Tool'!$A59,'IDF Distributions'!$A$1:$A$290,0),MATCH('Bulk Tool'!G$5,'IDF Distributions'!$A$1:$AB$1,0))*INDEX($N$5:$N$11,MATCH(G$6,$L$5:$L$11,0))*IF($E$2="Depth (mm)",(1),IF($E$2="Intensity (mm/hr)",12,0))</f>
        <v>1.1596500629225819</v>
      </c>
      <c r="H59" s="24">
        <f>INDEX('IDF Distributions'!$A$1:$AB$290,MATCH('Bulk Tool'!$A59,'IDF Distributions'!$A$1:$A$290,0),MATCH('Bulk Tool'!H$5,'IDF Distributions'!$A$1:$AB$1,0))*INDEX($N$5:$N$11,MATCH(H$6,$L$5:$L$11,0))*IF($E$2="Depth (mm)",(1),IF($E$2="Intensity (mm/hr)",12,0))</f>
        <v>1.2987388679854963</v>
      </c>
      <c r="I59" s="12" t="str">
        <f>IF(COUNTIF($H$7:H59,$H$7)&gt;1,"Do Not Copy","Copy")</f>
        <v>Copy</v>
      </c>
      <c r="L59"/>
      <c r="M59" s="2"/>
    </row>
    <row r="60" spans="1:13" x14ac:dyDescent="0.25">
      <c r="A60" s="128">
        <f t="shared" si="3"/>
        <v>0.1840277777777776</v>
      </c>
      <c r="B60" s="24">
        <f>INDEX('IDF Distributions'!$A$1:$AB$290,MATCH('Bulk Tool'!$A60,'IDF Distributions'!$A$1:$A$290,0),MATCH('Bulk Tool'!B$5,'IDF Distributions'!$A$1:$AB$1,0))*INDEX($N$5:$N$11,MATCH(B$6,$L$5:$L$11,0))*IF($E$2="Depth (mm)",(1),IF($E$2="Intensity (mm/hr)",12,0))</f>
        <v>0.48306572546147852</v>
      </c>
      <c r="C60" s="24">
        <f>INDEX('IDF Distributions'!$A$1:$AB$290,MATCH('Bulk Tool'!$A60,'IDF Distributions'!$A$1:$A$290,0),MATCH('Bulk Tool'!C$5,'IDF Distributions'!$A$1:$AB$1,0))*INDEX($N$5:$N$11,MATCH(C$6,$L$5:$L$11,0))*IF($E$2="Depth (mm)",(1),IF($E$2="Intensity (mm/hr)",12,0))</f>
        <v>0.64415100404942172</v>
      </c>
      <c r="D60" s="24">
        <f>INDEX('IDF Distributions'!$A$1:$AB$290,MATCH('Bulk Tool'!$A60,'IDF Distributions'!$A$1:$A$290,0),MATCH('Bulk Tool'!D$5,'IDF Distributions'!$A$1:$AB$1,0))*INDEX($N$5:$N$11,MATCH(D$6,$L$5:$L$11,0))*IF($E$2="Depth (mm)",(1),IF($E$2="Intensity (mm/hr)",12,0))</f>
        <v>0.758524728395221</v>
      </c>
      <c r="E60" s="24">
        <f>INDEX('IDF Distributions'!$A$1:$AB$290,MATCH('Bulk Tool'!$A60,'IDF Distributions'!$A$1:$A$290,0),MATCH('Bulk Tool'!E$5,'IDF Distributions'!$A$1:$AB$1,0))*INDEX($N$5:$N$11,MATCH(E$6,$L$5:$L$11,0))*IF($E$2="Depth (mm)",(1),IF($E$2="Intensity (mm/hr)",12,0))</f>
        <v>0.91598308522098182</v>
      </c>
      <c r="F60" s="24">
        <f>INDEX('IDF Distributions'!$A$1:$AB$290,MATCH('Bulk Tool'!$A60,'IDF Distributions'!$A$1:$A$290,0),MATCH('Bulk Tool'!F$5,'IDF Distributions'!$A$1:$AB$1,0))*INDEX($N$5:$N$11,MATCH(F$6,$L$5:$L$11,0))*IF($E$2="Depth (mm)",(1),IF($E$2="Intensity (mm/hr)",12,0))</f>
        <v>1.0402612676639924</v>
      </c>
      <c r="G60" s="24">
        <f>INDEX('IDF Distributions'!$A$1:$AB$290,MATCH('Bulk Tool'!$A60,'IDF Distributions'!$A$1:$A$290,0),MATCH('Bulk Tool'!G$5,'IDF Distributions'!$A$1:$AB$1,0))*INDEX($N$5:$N$11,MATCH(G$6,$L$5:$L$11,0))*IF($E$2="Depth (mm)",(1),IF($E$2="Intensity (mm/hr)",12,0))</f>
        <v>1.1716671620202339</v>
      </c>
      <c r="H60" s="24">
        <f>INDEX('IDF Distributions'!$A$1:$AB$290,MATCH('Bulk Tool'!$A60,'IDF Distributions'!$A$1:$A$290,0),MATCH('Bulk Tool'!H$5,'IDF Distributions'!$A$1:$AB$1,0))*INDEX($N$5:$N$11,MATCH(H$6,$L$5:$L$11,0))*IF($E$2="Depth (mm)",(1),IF($E$2="Intensity (mm/hr)",12,0))</f>
        <v>1.3121973018506408</v>
      </c>
      <c r="I60" s="12" t="str">
        <f>IF(COUNTIF($H$7:H60,$H$7)&gt;1,"Do Not Copy","Copy")</f>
        <v>Copy</v>
      </c>
      <c r="L60"/>
      <c r="M60" s="2"/>
    </row>
    <row r="61" spans="1:13" x14ac:dyDescent="0.25">
      <c r="A61" s="128">
        <f t="shared" si="3"/>
        <v>0.18749999999999981</v>
      </c>
      <c r="B61" s="24">
        <f>INDEX('IDF Distributions'!$A$1:$AB$290,MATCH('Bulk Tool'!$A61,'IDF Distributions'!$A$1:$A$290,0),MATCH('Bulk Tool'!B$5,'IDF Distributions'!$A$1:$AB$1,0))*INDEX($N$5:$N$11,MATCH(B$6,$L$5:$L$11,0))*IF($E$2="Depth (mm)",(1),IF($E$2="Intensity (mm/hr)",12,0))</f>
        <v>0.48554298559205411</v>
      </c>
      <c r="C61" s="24">
        <f>INDEX('IDF Distributions'!$A$1:$AB$290,MATCH('Bulk Tool'!$A61,'IDF Distributions'!$A$1:$A$290,0),MATCH('Bulk Tool'!C$5,'IDF Distributions'!$A$1:$AB$1,0))*INDEX($N$5:$N$11,MATCH(C$6,$L$5:$L$11,0))*IF($E$2="Depth (mm)",(1),IF($E$2="Intensity (mm/hr)",12,0))</f>
        <v>0.64745434253173151</v>
      </c>
      <c r="D61" s="24">
        <f>INDEX('IDF Distributions'!$A$1:$AB$290,MATCH('Bulk Tool'!$A61,'IDF Distributions'!$A$1:$A$290,0),MATCH('Bulk Tool'!D$5,'IDF Distributions'!$A$1:$AB$1,0))*INDEX($N$5:$N$11,MATCH(D$6,$L$5:$L$11,0))*IF($E$2="Depth (mm)",(1),IF($E$2="Intensity (mm/hr)",12,0))</f>
        <v>0.76241459879725393</v>
      </c>
      <c r="E61" s="24">
        <f>INDEX('IDF Distributions'!$A$1:$AB$290,MATCH('Bulk Tool'!$A61,'IDF Distributions'!$A$1:$A$290,0),MATCH('Bulk Tool'!E$5,'IDF Distributions'!$A$1:$AB$1,0))*INDEX($N$5:$N$11,MATCH(E$6,$L$5:$L$11,0))*IF($E$2="Depth (mm)",(1),IF($E$2="Intensity (mm/hr)",12,0))</f>
        <v>0.92068043437596858</v>
      </c>
      <c r="F61" s="24">
        <f>INDEX('IDF Distributions'!$A$1:$AB$290,MATCH('Bulk Tool'!$A61,'IDF Distributions'!$A$1:$A$290,0),MATCH('Bulk Tool'!F$5,'IDF Distributions'!$A$1:$AB$1,0))*INDEX($N$5:$N$11,MATCH(F$6,$L$5:$L$11,0))*IF($E$2="Depth (mm)",(1),IF($E$2="Intensity (mm/hr)",12,0))</f>
        <v>1.0455959408315083</v>
      </c>
      <c r="G61" s="24">
        <f>INDEX('IDF Distributions'!$A$1:$AB$290,MATCH('Bulk Tool'!$A61,'IDF Distributions'!$A$1:$A$290,0),MATCH('Bulk Tool'!G$5,'IDF Distributions'!$A$1:$AB$1,0))*INDEX($N$5:$N$11,MATCH(G$6,$L$5:$L$11,0))*IF($E$2="Depth (mm)",(1),IF($E$2="Intensity (mm/hr)",12,0))</f>
        <v>1.177675711569065</v>
      </c>
      <c r="H61" s="24">
        <f>INDEX('IDF Distributions'!$A$1:$AB$290,MATCH('Bulk Tool'!$A61,'IDF Distributions'!$A$1:$A$290,0),MATCH('Bulk Tool'!H$5,'IDF Distributions'!$A$1:$AB$1,0))*INDEX($N$5:$N$11,MATCH(H$6,$L$5:$L$11,0))*IF($E$2="Depth (mm)",(1),IF($E$2="Intensity (mm/hr)",12,0))</f>
        <v>1.3189265187832186</v>
      </c>
      <c r="I61" s="12" t="str">
        <f>IF(COUNTIF($H$7:H61,$H$7)&gt;1,"Do Not Copy","Copy")</f>
        <v>Copy</v>
      </c>
      <c r="L61"/>
      <c r="M61" s="2"/>
    </row>
    <row r="62" spans="1:13" x14ac:dyDescent="0.25">
      <c r="A62" s="128">
        <f t="shared" si="3"/>
        <v>0.19097222222222202</v>
      </c>
      <c r="B62" s="24">
        <f>INDEX('IDF Distributions'!$A$1:$AB$290,MATCH('Bulk Tool'!$A62,'IDF Distributions'!$A$1:$A$290,0),MATCH('Bulk Tool'!B$5,'IDF Distributions'!$A$1:$AB$1,0))*INDEX($N$5:$N$11,MATCH(B$6,$L$5:$L$11,0))*IF($E$2="Depth (mm)",(1),IF($E$2="Intensity (mm/hr)",12,0))</f>
        <v>0.49545202611433559</v>
      </c>
      <c r="C62" s="24">
        <f>INDEX('IDF Distributions'!$A$1:$AB$290,MATCH('Bulk Tool'!$A62,'IDF Distributions'!$A$1:$A$290,0),MATCH('Bulk Tool'!C$5,'IDF Distributions'!$A$1:$AB$1,0))*INDEX($N$5:$N$11,MATCH(C$6,$L$5:$L$11,0))*IF($E$2="Depth (mm)",(1),IF($E$2="Intensity (mm/hr)",12,0))</f>
        <v>0.66066769646094348</v>
      </c>
      <c r="D62" s="24">
        <f>INDEX('IDF Distributions'!$A$1:$AB$290,MATCH('Bulk Tool'!$A62,'IDF Distributions'!$A$1:$A$290,0),MATCH('Bulk Tool'!D$5,'IDF Distributions'!$A$1:$AB$1,0))*INDEX($N$5:$N$11,MATCH(D$6,$L$5:$L$11,0))*IF($E$2="Depth (mm)",(1),IF($E$2="Intensity (mm/hr)",12,0))</f>
        <v>0.77797408040535276</v>
      </c>
      <c r="E62" s="24">
        <f>INDEX('IDF Distributions'!$A$1:$AB$290,MATCH('Bulk Tool'!$A62,'IDF Distributions'!$A$1:$A$290,0),MATCH('Bulk Tool'!E$5,'IDF Distributions'!$A$1:$AB$1,0))*INDEX($N$5:$N$11,MATCH(E$6,$L$5:$L$11,0))*IF($E$2="Depth (mm)",(1),IF($E$2="Intensity (mm/hr)",12,0))</f>
        <v>0.93946983099587622</v>
      </c>
      <c r="F62" s="24">
        <f>INDEX('IDF Distributions'!$A$1:$AB$290,MATCH('Bulk Tool'!$A62,'IDF Distributions'!$A$1:$A$290,0),MATCH('Bulk Tool'!F$5,'IDF Distributions'!$A$1:$AB$1,0))*INDEX($N$5:$N$11,MATCH(F$6,$L$5:$L$11,0))*IF($E$2="Depth (mm)",(1),IF($E$2="Intensity (mm/hr)",12,0))</f>
        <v>1.0669346335015277</v>
      </c>
      <c r="G62" s="24">
        <f>INDEX('IDF Distributions'!$A$1:$AB$290,MATCH('Bulk Tool'!$A62,'IDF Distributions'!$A$1:$A$290,0),MATCH('Bulk Tool'!G$5,'IDF Distributions'!$A$1:$AB$1,0))*INDEX($N$5:$N$11,MATCH(G$6,$L$5:$L$11,0))*IF($E$2="Depth (mm)",(1),IF($E$2="Intensity (mm/hr)",12,0))</f>
        <v>1.2017099097643391</v>
      </c>
      <c r="H62" s="24">
        <f>INDEX('IDF Distributions'!$A$1:$AB$290,MATCH('Bulk Tool'!$A62,'IDF Distributions'!$A$1:$A$290,0),MATCH('Bulk Tool'!H$5,'IDF Distributions'!$A$1:$AB$1,0))*INDEX($N$5:$N$11,MATCH(H$6,$L$5:$L$11,0))*IF($E$2="Depth (mm)",(1),IF($E$2="Intensity (mm/hr)",12,0))</f>
        <v>1.345843386513474</v>
      </c>
      <c r="I62" s="12" t="str">
        <f>IF(COUNTIF($H$7:H62,$H$7)&gt;1,"Do Not Copy","Copy")</f>
        <v>Copy</v>
      </c>
      <c r="L62"/>
      <c r="M62" s="2"/>
    </row>
    <row r="63" spans="1:13" x14ac:dyDescent="0.25">
      <c r="A63" s="128">
        <f t="shared" si="3"/>
        <v>0.19444444444444423</v>
      </c>
      <c r="B63" s="24">
        <f>INDEX('IDF Distributions'!$A$1:$AB$290,MATCH('Bulk Tool'!$A63,'IDF Distributions'!$A$1:$A$290,0),MATCH('Bulk Tool'!B$5,'IDF Distributions'!$A$1:$AB$1,0))*INDEX($N$5:$N$11,MATCH(B$6,$L$5:$L$11,0))*IF($E$2="Depth (mm)",(1),IF($E$2="Intensity (mm/hr)",12,0))</f>
        <v>0.50783832676719265</v>
      </c>
      <c r="C63" s="24">
        <f>INDEX('IDF Distributions'!$A$1:$AB$290,MATCH('Bulk Tool'!$A63,'IDF Distributions'!$A$1:$A$290,0),MATCH('Bulk Tool'!C$5,'IDF Distributions'!$A$1:$AB$1,0))*INDEX($N$5:$N$11,MATCH(C$6,$L$5:$L$11,0))*IF($E$2="Depth (mm)",(1),IF($E$2="Intensity (mm/hr)",12,0))</f>
        <v>0.67718438887246524</v>
      </c>
      <c r="D63" s="24">
        <f>INDEX('IDF Distributions'!$A$1:$AB$290,MATCH('Bulk Tool'!$A63,'IDF Distributions'!$A$1:$A$290,0),MATCH('Bulk Tool'!D$5,'IDF Distributions'!$A$1:$AB$1,0))*INDEX($N$5:$N$11,MATCH(D$6,$L$5:$L$11,0))*IF($E$2="Depth (mm)",(1),IF($E$2="Intensity (mm/hr)",12,0))</f>
        <v>0.79742343241548452</v>
      </c>
      <c r="E63" s="24">
        <f>INDEX('IDF Distributions'!$A$1:$AB$290,MATCH('Bulk Tool'!$A63,'IDF Distributions'!$A$1:$A$290,0),MATCH('Bulk Tool'!E$5,'IDF Distributions'!$A$1:$AB$1,0))*INDEX($N$5:$N$11,MATCH(E$6,$L$5:$L$11,0))*IF($E$2="Depth (mm)",(1),IF($E$2="Intensity (mm/hr)",12,0))</f>
        <v>0.96295657677077051</v>
      </c>
      <c r="F63" s="24">
        <f>INDEX('IDF Distributions'!$A$1:$AB$290,MATCH('Bulk Tool'!$A63,'IDF Distributions'!$A$1:$A$290,0),MATCH('Bulk Tool'!F$5,'IDF Distributions'!$A$1:$AB$1,0))*INDEX($N$5:$N$11,MATCH(F$6,$L$5:$L$11,0))*IF($E$2="Depth (mm)",(1),IF($E$2="Intensity (mm/hr)",12,0))</f>
        <v>1.0936079993390631</v>
      </c>
      <c r="G63" s="24">
        <f>INDEX('IDF Distributions'!$A$1:$AB$290,MATCH('Bulk Tool'!$A63,'IDF Distributions'!$A$1:$A$290,0),MATCH('Bulk Tool'!G$5,'IDF Distributions'!$A$1:$AB$1,0))*INDEX($N$5:$N$11,MATCH(G$6,$L$5:$L$11,0))*IF($E$2="Depth (mm)",(1),IF($E$2="Intensity (mm/hr)",12,0))</f>
        <v>1.2317526575084443</v>
      </c>
      <c r="H63" s="24">
        <f>INDEX('IDF Distributions'!$A$1:$AB$290,MATCH('Bulk Tool'!$A63,'IDF Distributions'!$A$1:$A$290,0),MATCH('Bulk Tool'!H$5,'IDF Distributions'!$A$1:$AB$1,0))*INDEX($N$5:$N$11,MATCH(H$6,$L$5:$L$11,0))*IF($E$2="Depth (mm)",(1),IF($E$2="Intensity (mm/hr)",12,0))</f>
        <v>1.3794894711763073</v>
      </c>
      <c r="I63" s="12" t="str">
        <f>IF(COUNTIF($H$7:H63,$H$7)&gt;1,"Do Not Copy","Copy")</f>
        <v>Copy</v>
      </c>
      <c r="L63"/>
      <c r="M63" s="2"/>
    </row>
    <row r="64" spans="1:13" x14ac:dyDescent="0.25">
      <c r="A64" s="128">
        <f t="shared" si="3"/>
        <v>0.19791666666666644</v>
      </c>
      <c r="B64" s="24">
        <f>INDEX('IDF Distributions'!$A$1:$AB$290,MATCH('Bulk Tool'!$A64,'IDF Distributions'!$A$1:$A$290,0),MATCH('Bulk Tool'!B$5,'IDF Distributions'!$A$1:$AB$1,0))*INDEX($N$5:$N$11,MATCH(B$6,$L$5:$L$11,0))*IF($E$2="Depth (mm)",(1),IF($E$2="Intensity (mm/hr)",12,0))</f>
        <v>0.51774736728948245</v>
      </c>
      <c r="C64" s="24">
        <f>INDEX('IDF Distributions'!$A$1:$AB$290,MATCH('Bulk Tool'!$A64,'IDF Distributions'!$A$1:$A$290,0),MATCH('Bulk Tool'!C$5,'IDF Distributions'!$A$1:$AB$1,0))*INDEX($N$5:$N$11,MATCH(C$6,$L$5:$L$11,0))*IF($E$2="Depth (mm)",(1),IF($E$2="Intensity (mm/hr)",12,0))</f>
        <v>0.6903977428016882</v>
      </c>
      <c r="D64" s="24">
        <f>INDEX('IDF Distributions'!$A$1:$AB$290,MATCH('Bulk Tool'!$A64,'IDF Distributions'!$A$1:$A$290,0),MATCH('Bulk Tool'!D$5,'IDF Distributions'!$A$1:$AB$1,0))*INDEX($N$5:$N$11,MATCH(D$6,$L$5:$L$11,0))*IF($E$2="Depth (mm)",(1),IF($E$2="Intensity (mm/hr)",12,0))</f>
        <v>0.81298291402359635</v>
      </c>
      <c r="E64" s="24">
        <f>INDEX('IDF Distributions'!$A$1:$AB$290,MATCH('Bulk Tool'!$A64,'IDF Distributions'!$A$1:$A$290,0),MATCH('Bulk Tool'!E$5,'IDF Distributions'!$A$1:$AB$1,0))*INDEX($N$5:$N$11,MATCH(E$6,$L$5:$L$11,0))*IF($E$2="Depth (mm)",(1),IF($E$2="Intensity (mm/hr)",12,0))</f>
        <v>0.9817459733906938</v>
      </c>
      <c r="F64" s="24">
        <f>INDEX('IDF Distributions'!$A$1:$AB$290,MATCH('Bulk Tool'!$A64,'IDF Distributions'!$A$1:$A$290,0),MATCH('Bulk Tool'!F$5,'IDF Distributions'!$A$1:$AB$1,0))*INDEX($N$5:$N$11,MATCH(F$6,$L$5:$L$11,0))*IF($E$2="Depth (mm)",(1),IF($E$2="Intensity (mm/hr)",12,0))</f>
        <v>1.1149466920091</v>
      </c>
      <c r="G64" s="24">
        <f>INDEX('IDF Distributions'!$A$1:$AB$290,MATCH('Bulk Tool'!$A64,'IDF Distributions'!$A$1:$A$290,0),MATCH('Bulk Tool'!G$5,'IDF Distributions'!$A$1:$AB$1,0))*INDEX($N$5:$N$11,MATCH(G$6,$L$5:$L$11,0))*IF($E$2="Depth (mm)",(1),IF($E$2="Intensity (mm/hr)",12,0))</f>
        <v>1.2557868557037386</v>
      </c>
      <c r="H64" s="24">
        <f>INDEX('IDF Distributions'!$A$1:$AB$290,MATCH('Bulk Tool'!$A64,'IDF Distributions'!$A$1:$A$290,0),MATCH('Bulk Tool'!H$5,'IDF Distributions'!$A$1:$AB$1,0))*INDEX($N$5:$N$11,MATCH(H$6,$L$5:$L$11,0))*IF($E$2="Depth (mm)",(1),IF($E$2="Intensity (mm/hr)",12,0))</f>
        <v>1.4064063389065851</v>
      </c>
      <c r="I64" s="12" t="str">
        <f>IF(COUNTIF($H$7:H64,$H$7)&gt;1,"Do Not Copy","Copy")</f>
        <v>Copy</v>
      </c>
      <c r="L64"/>
      <c r="M64" s="2"/>
    </row>
    <row r="65" spans="1:13" x14ac:dyDescent="0.25">
      <c r="A65" s="128">
        <f t="shared" si="3"/>
        <v>0.20138888888888865</v>
      </c>
      <c r="B65" s="24">
        <f>INDEX('IDF Distributions'!$A$1:$AB$290,MATCH('Bulk Tool'!$A65,'IDF Distributions'!$A$1:$A$290,0),MATCH('Bulk Tool'!B$5,'IDF Distributions'!$A$1:$AB$1,0))*INDEX($N$5:$N$11,MATCH(B$6,$L$5:$L$11,0))*IF($E$2="Depth (mm)",(1),IF($E$2="Intensity (mm/hr)",12,0))</f>
        <v>0.52765640781176804</v>
      </c>
      <c r="C65" s="24">
        <f>INDEX('IDF Distributions'!$A$1:$AB$290,MATCH('Bulk Tool'!$A65,'IDF Distributions'!$A$1:$A$290,0),MATCH('Bulk Tool'!C$5,'IDF Distributions'!$A$1:$AB$1,0))*INDEX($N$5:$N$11,MATCH(C$6,$L$5:$L$11,0))*IF($E$2="Depth (mm)",(1),IF($E$2="Intensity (mm/hr)",12,0))</f>
        <v>0.70361109673090561</v>
      </c>
      <c r="D65" s="24">
        <f>INDEX('IDF Distributions'!$A$1:$AB$290,MATCH('Bulk Tool'!$A65,'IDF Distributions'!$A$1:$A$290,0),MATCH('Bulk Tool'!D$5,'IDF Distributions'!$A$1:$AB$1,0))*INDEX($N$5:$N$11,MATCH(D$6,$L$5:$L$11,0))*IF($E$2="Depth (mm)",(1),IF($E$2="Intensity (mm/hr)",12,0))</f>
        <v>0.82854239563170173</v>
      </c>
      <c r="E65" s="24">
        <f>INDEX('IDF Distributions'!$A$1:$AB$290,MATCH('Bulk Tool'!$A65,'IDF Distributions'!$A$1:$A$290,0),MATCH('Bulk Tool'!E$5,'IDF Distributions'!$A$1:$AB$1,0))*INDEX($N$5:$N$11,MATCH(E$6,$L$5:$L$11,0))*IF($E$2="Depth (mm)",(1),IF($E$2="Intensity (mm/hr)",12,0))</f>
        <v>1.0005353700106094</v>
      </c>
      <c r="F65" s="24">
        <f>INDEX('IDF Distributions'!$A$1:$AB$290,MATCH('Bulk Tool'!$A65,'IDF Distributions'!$A$1:$A$290,0),MATCH('Bulk Tool'!F$5,'IDF Distributions'!$A$1:$AB$1,0))*INDEX($N$5:$N$11,MATCH(F$6,$L$5:$L$11,0))*IF($E$2="Depth (mm)",(1),IF($E$2="Intensity (mm/hr)",12,0))</f>
        <v>1.1362853846791283</v>
      </c>
      <c r="G65" s="24">
        <f>INDEX('IDF Distributions'!$A$1:$AB$290,MATCH('Bulk Tool'!$A65,'IDF Distributions'!$A$1:$A$290,0),MATCH('Bulk Tool'!G$5,'IDF Distributions'!$A$1:$AB$1,0))*INDEX($N$5:$N$11,MATCH(G$6,$L$5:$L$11,0))*IF($E$2="Depth (mm)",(1),IF($E$2="Intensity (mm/hr)",12,0))</f>
        <v>1.2798210538990227</v>
      </c>
      <c r="H65" s="24">
        <f>INDEX('IDF Distributions'!$A$1:$AB$290,MATCH('Bulk Tool'!$A65,'IDF Distributions'!$A$1:$A$290,0),MATCH('Bulk Tool'!H$5,'IDF Distributions'!$A$1:$AB$1,0))*INDEX($N$5:$N$11,MATCH(H$6,$L$5:$L$11,0))*IF($E$2="Depth (mm)",(1),IF($E$2="Intensity (mm/hr)",12,0))</f>
        <v>1.4333232066368515</v>
      </c>
      <c r="I65" s="12" t="str">
        <f>IF(COUNTIF($H$7:H65,$H$7)&gt;1,"Do Not Copy","Copy")</f>
        <v>Copy</v>
      </c>
      <c r="L65"/>
      <c r="M65" s="2"/>
    </row>
    <row r="66" spans="1:13" x14ac:dyDescent="0.25">
      <c r="A66" s="128">
        <f t="shared" si="3"/>
        <v>0.20486111111111086</v>
      </c>
      <c r="B66" s="24">
        <f>INDEX('IDF Distributions'!$A$1:$AB$290,MATCH('Bulk Tool'!$A66,'IDF Distributions'!$A$1:$A$290,0),MATCH('Bulk Tool'!B$5,'IDF Distributions'!$A$1:$AB$1,0))*INDEX($N$5:$N$11,MATCH(B$6,$L$5:$L$11,0))*IF($E$2="Depth (mm)",(1),IF($E$2="Intensity (mm/hr)",12,0))</f>
        <v>0.53756544833405784</v>
      </c>
      <c r="C66" s="24">
        <f>INDEX('IDF Distributions'!$A$1:$AB$290,MATCH('Bulk Tool'!$A66,'IDF Distributions'!$A$1:$A$290,0),MATCH('Bulk Tool'!C$5,'IDF Distributions'!$A$1:$AB$1,0))*INDEX($N$5:$N$11,MATCH(C$6,$L$5:$L$11,0))*IF($E$2="Depth (mm)",(1),IF($E$2="Intensity (mm/hr)",12,0))</f>
        <v>0.71682445066012856</v>
      </c>
      <c r="D66" s="24">
        <f>INDEX('IDF Distributions'!$A$1:$AB$290,MATCH('Bulk Tool'!$A66,'IDF Distributions'!$A$1:$A$290,0),MATCH('Bulk Tool'!D$5,'IDF Distributions'!$A$1:$AB$1,0))*INDEX($N$5:$N$11,MATCH(D$6,$L$5:$L$11,0))*IF($E$2="Depth (mm)",(1),IF($E$2="Intensity (mm/hr)",12,0))</f>
        <v>0.84410187723981356</v>
      </c>
      <c r="E66" s="24">
        <f>INDEX('IDF Distributions'!$A$1:$AB$290,MATCH('Bulk Tool'!$A66,'IDF Distributions'!$A$1:$A$290,0),MATCH('Bulk Tool'!E$5,'IDF Distributions'!$A$1:$AB$1,0))*INDEX($N$5:$N$11,MATCH(E$6,$L$5:$L$11,0))*IF($E$2="Depth (mm)",(1),IF($E$2="Intensity (mm/hr)",12,0))</f>
        <v>1.0193247666305327</v>
      </c>
      <c r="F66" s="24">
        <f>INDEX('IDF Distributions'!$A$1:$AB$290,MATCH('Bulk Tool'!$A66,'IDF Distributions'!$A$1:$A$290,0),MATCH('Bulk Tool'!F$5,'IDF Distributions'!$A$1:$AB$1,0))*INDEX($N$5:$N$11,MATCH(F$6,$L$5:$L$11,0))*IF($E$2="Depth (mm)",(1),IF($E$2="Intensity (mm/hr)",12,0))</f>
        <v>1.1576240773491655</v>
      </c>
      <c r="G66" s="24">
        <f>INDEX('IDF Distributions'!$A$1:$AB$290,MATCH('Bulk Tool'!$A66,'IDF Distributions'!$A$1:$A$290,0),MATCH('Bulk Tool'!G$5,'IDF Distributions'!$A$1:$AB$1,0))*INDEX($N$5:$N$11,MATCH(G$6,$L$5:$L$11,0))*IF($E$2="Depth (mm)",(1),IF($E$2="Intensity (mm/hr)",12,0))</f>
        <v>1.303855252094317</v>
      </c>
      <c r="H66" s="24">
        <f>INDEX('IDF Distributions'!$A$1:$AB$290,MATCH('Bulk Tool'!$A66,'IDF Distributions'!$A$1:$A$290,0),MATCH('Bulk Tool'!H$5,'IDF Distributions'!$A$1:$AB$1,0))*INDEX($N$5:$N$11,MATCH(H$6,$L$5:$L$11,0))*IF($E$2="Depth (mm)",(1),IF($E$2="Intensity (mm/hr)",12,0))</f>
        <v>1.4602400743671293</v>
      </c>
      <c r="I66" s="12" t="str">
        <f>IF(COUNTIF($H$7:H66,$H$7)&gt;1,"Do Not Copy","Copy")</f>
        <v>Copy</v>
      </c>
      <c r="L66"/>
      <c r="M66" s="2"/>
    </row>
    <row r="67" spans="1:13" x14ac:dyDescent="0.25">
      <c r="A67" s="128">
        <f t="shared" si="3"/>
        <v>0.20833333333333307</v>
      </c>
      <c r="B67" s="24">
        <f>INDEX('IDF Distributions'!$A$1:$AB$290,MATCH('Bulk Tool'!$A67,'IDF Distributions'!$A$1:$A$290,0),MATCH('Bulk Tool'!B$5,'IDF Distributions'!$A$1:$AB$1,0))*INDEX($N$5:$N$11,MATCH(B$6,$L$5:$L$11,0))*IF($E$2="Depth (mm)",(1),IF($E$2="Intensity (mm/hr)",12,0))</f>
        <v>0.54995174898691079</v>
      </c>
      <c r="C67" s="24">
        <f>INDEX('IDF Distributions'!$A$1:$AB$290,MATCH('Bulk Tool'!$A67,'IDF Distributions'!$A$1:$A$290,0),MATCH('Bulk Tool'!C$5,'IDF Distributions'!$A$1:$AB$1,0))*INDEX($N$5:$N$11,MATCH(C$6,$L$5:$L$11,0))*IF($E$2="Depth (mm)",(1),IF($E$2="Intensity (mm/hr)",12,0))</f>
        <v>0.73334114307164489</v>
      </c>
      <c r="D67" s="24">
        <f>INDEX('IDF Distributions'!$A$1:$AB$290,MATCH('Bulk Tool'!$A67,'IDF Distributions'!$A$1:$A$290,0),MATCH('Bulk Tool'!D$5,'IDF Distributions'!$A$1:$AB$1,0))*INDEX($N$5:$N$11,MATCH(D$6,$L$5:$L$11,0))*IF($E$2="Depth (mm)",(1),IF($E$2="Intensity (mm/hr)",12,0))</f>
        <v>0.86355122924993877</v>
      </c>
      <c r="E67" s="24">
        <f>INDEX('IDF Distributions'!$A$1:$AB$290,MATCH('Bulk Tool'!$A67,'IDF Distributions'!$A$1:$A$290,0),MATCH('Bulk Tool'!E$5,'IDF Distributions'!$A$1:$AB$1,0))*INDEX($N$5:$N$11,MATCH(E$6,$L$5:$L$11,0))*IF($E$2="Depth (mm)",(1),IF($E$2="Intensity (mm/hr)",12,0))</f>
        <v>1.0428115124054191</v>
      </c>
      <c r="F67" s="24">
        <f>INDEX('IDF Distributions'!$A$1:$AB$290,MATCH('Bulk Tool'!$A67,'IDF Distributions'!$A$1:$A$290,0),MATCH('Bulk Tool'!F$5,'IDF Distributions'!$A$1:$AB$1,0))*INDEX($N$5:$N$11,MATCH(F$6,$L$5:$L$11,0))*IF($E$2="Depth (mm)",(1),IF($E$2="Intensity (mm/hr)",12,0))</f>
        <v>1.1842974431866919</v>
      </c>
      <c r="G67" s="24">
        <f>INDEX('IDF Distributions'!$A$1:$AB$290,MATCH('Bulk Tool'!$A67,'IDF Distributions'!$A$1:$A$290,0),MATCH('Bulk Tool'!G$5,'IDF Distributions'!$A$1:$AB$1,0))*INDEX($N$5:$N$11,MATCH(G$6,$L$5:$L$11,0))*IF($E$2="Depth (mm)",(1),IF($E$2="Intensity (mm/hr)",12,0))</f>
        <v>1.3338979998384122</v>
      </c>
      <c r="H67" s="24">
        <f>INDEX('IDF Distributions'!$A$1:$AB$290,MATCH('Bulk Tool'!$A67,'IDF Distributions'!$A$1:$A$290,0),MATCH('Bulk Tool'!H$5,'IDF Distributions'!$A$1:$AB$1,0))*INDEX($N$5:$N$11,MATCH(H$6,$L$5:$L$11,0))*IF($E$2="Depth (mm)",(1),IF($E$2="Intensity (mm/hr)",12,0))</f>
        <v>1.4938861590299513</v>
      </c>
      <c r="I67" s="12" t="str">
        <f>IF(COUNTIF($H$7:H67,$H$7)&gt;1,"Do Not Copy","Copy")</f>
        <v>Copy</v>
      </c>
      <c r="L67"/>
      <c r="M67" s="2"/>
    </row>
    <row r="68" spans="1:13" x14ac:dyDescent="0.25">
      <c r="A68" s="128">
        <f t="shared" si="3"/>
        <v>0.21180555555555527</v>
      </c>
      <c r="B68" s="24">
        <f>INDEX('IDF Distributions'!$A$1:$AB$290,MATCH('Bulk Tool'!$A68,'IDF Distributions'!$A$1:$A$290,0),MATCH('Bulk Tool'!B$5,'IDF Distributions'!$A$1:$AB$1,0))*INDEX($N$5:$N$11,MATCH(B$6,$L$5:$L$11,0))*IF($E$2="Depth (mm)",(1),IF($E$2="Intensity (mm/hr)",12,0))</f>
        <v>0.56976983003148618</v>
      </c>
      <c r="C68" s="24">
        <f>INDEX('IDF Distributions'!$A$1:$AB$290,MATCH('Bulk Tool'!$A68,'IDF Distributions'!$A$1:$A$290,0),MATCH('Bulk Tool'!C$5,'IDF Distributions'!$A$1:$AB$1,0))*INDEX($N$5:$N$11,MATCH(C$6,$L$5:$L$11,0))*IF($E$2="Depth (mm)",(1),IF($E$2="Intensity (mm/hr)",12,0))</f>
        <v>0.75976785093008514</v>
      </c>
      <c r="D68" s="24">
        <f>INDEX('IDF Distributions'!$A$1:$AB$290,MATCH('Bulk Tool'!$A68,'IDF Distributions'!$A$1:$A$290,0),MATCH('Bulk Tool'!D$5,'IDF Distributions'!$A$1:$AB$1,0))*INDEX($N$5:$N$11,MATCH(D$6,$L$5:$L$11,0))*IF($E$2="Depth (mm)",(1),IF($E$2="Intensity (mm/hr)",12,0))</f>
        <v>0.89467019246615598</v>
      </c>
      <c r="E68" s="24">
        <f>INDEX('IDF Distributions'!$A$1:$AB$290,MATCH('Bulk Tool'!$A68,'IDF Distributions'!$A$1:$A$290,0),MATCH('Bulk Tool'!E$5,'IDF Distributions'!$A$1:$AB$1,0))*INDEX($N$5:$N$11,MATCH(E$6,$L$5:$L$11,0))*IF($E$2="Depth (mm)",(1),IF($E$2="Intensity (mm/hr)",12,0))</f>
        <v>1.080390305645258</v>
      </c>
      <c r="F68" s="24">
        <f>INDEX('IDF Distributions'!$A$1:$AB$290,MATCH('Bulk Tool'!$A68,'IDF Distributions'!$A$1:$A$290,0),MATCH('Bulk Tool'!F$5,'IDF Distributions'!$A$1:$AB$1,0))*INDEX($N$5:$N$11,MATCH(F$6,$L$5:$L$11,0))*IF($E$2="Depth (mm)",(1),IF($E$2="Intensity (mm/hr)",12,0))</f>
        <v>1.2269748285267572</v>
      </c>
      <c r="G68" s="24">
        <f>INDEX('IDF Distributions'!$A$1:$AB$290,MATCH('Bulk Tool'!$A68,'IDF Distributions'!$A$1:$A$290,0),MATCH('Bulk Tool'!G$5,'IDF Distributions'!$A$1:$AB$1,0))*INDEX($N$5:$N$11,MATCH(G$6,$L$5:$L$11,0))*IF($E$2="Depth (mm)",(1),IF($E$2="Intensity (mm/hr)",12,0))</f>
        <v>1.3819663962289905</v>
      </c>
      <c r="H68" s="24">
        <f>INDEX('IDF Distributions'!$A$1:$AB$290,MATCH('Bulk Tool'!$A68,'IDF Distributions'!$A$1:$A$290,0),MATCH('Bulk Tool'!H$5,'IDF Distributions'!$A$1:$AB$1,0))*INDEX($N$5:$N$11,MATCH(H$6,$L$5:$L$11,0))*IF($E$2="Depth (mm)",(1),IF($E$2="Intensity (mm/hr)",12,0))</f>
        <v>1.5477198944904957</v>
      </c>
      <c r="I68" s="12" t="str">
        <f>IF(COUNTIF($H$7:H68,$H$7)&gt;1,"Do Not Copy","Copy")</f>
        <v>Copy</v>
      </c>
      <c r="L68"/>
      <c r="M68" s="2"/>
    </row>
    <row r="69" spans="1:13" x14ac:dyDescent="0.25">
      <c r="A69" s="128">
        <f t="shared" si="3"/>
        <v>0.21527777777777748</v>
      </c>
      <c r="B69" s="24">
        <f>INDEX('IDF Distributions'!$A$1:$AB$290,MATCH('Bulk Tool'!$A69,'IDF Distributions'!$A$1:$A$290,0),MATCH('Bulk Tool'!B$5,'IDF Distributions'!$A$1:$AB$1,0))*INDEX($N$5:$N$11,MATCH(B$6,$L$5:$L$11,0))*IF($E$2="Depth (mm)",(1),IF($E$2="Intensity (mm/hr)",12,0))</f>
        <v>0.58215613068434724</v>
      </c>
      <c r="C69" s="24">
        <f>INDEX('IDF Distributions'!$A$1:$AB$290,MATCH('Bulk Tool'!$A69,'IDF Distributions'!$A$1:$A$290,0),MATCH('Bulk Tool'!C$5,'IDF Distributions'!$A$1:$AB$1,0))*INDEX($N$5:$N$11,MATCH(C$6,$L$5:$L$11,0))*IF($E$2="Depth (mm)",(1),IF($E$2="Intensity (mm/hr)",12,0))</f>
        <v>0.77628454334161257</v>
      </c>
      <c r="D69" s="24">
        <f>INDEX('IDF Distributions'!$A$1:$AB$290,MATCH('Bulk Tool'!$A69,'IDF Distributions'!$A$1:$A$290,0),MATCH('Bulk Tool'!D$5,'IDF Distributions'!$A$1:$AB$1,0))*INDEX($N$5:$N$11,MATCH(D$6,$L$5:$L$11,0))*IF($E$2="Depth (mm)",(1),IF($E$2="Intensity (mm/hr)",12,0))</f>
        <v>0.91411954447629429</v>
      </c>
      <c r="E69" s="24">
        <f>INDEX('IDF Distributions'!$A$1:$AB$290,MATCH('Bulk Tool'!$A69,'IDF Distributions'!$A$1:$A$290,0),MATCH('Bulk Tool'!E$5,'IDF Distributions'!$A$1:$AB$1,0))*INDEX($N$5:$N$11,MATCH(E$6,$L$5:$L$11,0))*IF($E$2="Depth (mm)",(1),IF($E$2="Intensity (mm/hr)",12,0))</f>
        <v>1.1038770514201603</v>
      </c>
      <c r="F69" s="24">
        <f>INDEX('IDF Distributions'!$A$1:$AB$290,MATCH('Bulk Tool'!$A69,'IDF Distributions'!$A$1:$A$290,0),MATCH('Bulk Tool'!F$5,'IDF Distributions'!$A$1:$AB$1,0))*INDEX($N$5:$N$11,MATCH(F$6,$L$5:$L$11,0))*IF($E$2="Depth (mm)",(1),IF($E$2="Intensity (mm/hr)",12,0))</f>
        <v>1.2536481943643014</v>
      </c>
      <c r="G69" s="24">
        <f>INDEX('IDF Distributions'!$A$1:$AB$290,MATCH('Bulk Tool'!$A69,'IDF Distributions'!$A$1:$A$290,0),MATCH('Bulk Tool'!G$5,'IDF Distributions'!$A$1:$AB$1,0))*INDEX($N$5:$N$11,MATCH(G$6,$L$5:$L$11,0))*IF($E$2="Depth (mm)",(1),IF($E$2="Intensity (mm/hr)",12,0))</f>
        <v>1.4120091439731057</v>
      </c>
      <c r="H69" s="24">
        <f>INDEX('IDF Distributions'!$A$1:$AB$290,MATCH('Bulk Tool'!$A69,'IDF Distributions'!$A$1:$A$290,0),MATCH('Bulk Tool'!H$5,'IDF Distributions'!$A$1:$AB$1,0))*INDEX($N$5:$N$11,MATCH(H$6,$L$5:$L$11,0))*IF($E$2="Depth (mm)",(1),IF($E$2="Intensity (mm/hr)",12,0))</f>
        <v>1.5813659791533399</v>
      </c>
      <c r="I69" s="12" t="str">
        <f>IF(COUNTIF($H$7:H69,$H$7)&gt;1,"Do Not Copy","Copy")</f>
        <v>Copy</v>
      </c>
      <c r="L69"/>
      <c r="M69" s="2"/>
    </row>
    <row r="70" spans="1:13" x14ac:dyDescent="0.25">
      <c r="A70" s="128">
        <f t="shared" si="3"/>
        <v>0.21874999999999969</v>
      </c>
      <c r="B70" s="24">
        <f>INDEX('IDF Distributions'!$A$1:$AB$290,MATCH('Bulk Tool'!$A70,'IDF Distributions'!$A$1:$A$290,0),MATCH('Bulk Tool'!B$5,'IDF Distributions'!$A$1:$AB$1,0))*INDEX($N$5:$N$11,MATCH(B$6,$L$5:$L$11,0))*IF($E$2="Depth (mm)",(1),IF($E$2="Intensity (mm/hr)",12,0))</f>
        <v>0.59206517120663293</v>
      </c>
      <c r="C70" s="24">
        <f>INDEX('IDF Distributions'!$A$1:$AB$290,MATCH('Bulk Tool'!$A70,'IDF Distributions'!$A$1:$A$290,0),MATCH('Bulk Tool'!C$5,'IDF Distributions'!$A$1:$AB$1,0))*INDEX($N$5:$N$11,MATCH(C$6,$L$5:$L$11,0))*IF($E$2="Depth (mm)",(1),IF($E$2="Intensity (mm/hr)",12,0))</f>
        <v>0.78949789727082997</v>
      </c>
      <c r="D70" s="24">
        <f>INDEX('IDF Distributions'!$A$1:$AB$290,MATCH('Bulk Tool'!$A70,'IDF Distributions'!$A$1:$A$290,0),MATCH('Bulk Tool'!D$5,'IDF Distributions'!$A$1:$AB$1,0))*INDEX($N$5:$N$11,MATCH(D$6,$L$5:$L$11,0))*IF($E$2="Depth (mm)",(1),IF($E$2="Intensity (mm/hr)",12,0))</f>
        <v>0.92967902608439967</v>
      </c>
      <c r="E70" s="24">
        <f>INDEX('IDF Distributions'!$A$1:$AB$290,MATCH('Bulk Tool'!$A70,'IDF Distributions'!$A$1:$A$290,0),MATCH('Bulk Tool'!E$5,'IDF Distributions'!$A$1:$AB$1,0))*INDEX($N$5:$N$11,MATCH(E$6,$L$5:$L$11,0))*IF($E$2="Depth (mm)",(1),IF($E$2="Intensity (mm/hr)",12,0))</f>
        <v>1.1226664480400756</v>
      </c>
      <c r="F70" s="24">
        <f>INDEX('IDF Distributions'!$A$1:$AB$290,MATCH('Bulk Tool'!$A70,'IDF Distributions'!$A$1:$A$290,0),MATCH('Bulk Tool'!F$5,'IDF Distributions'!$A$1:$AB$1,0))*INDEX($N$5:$N$11,MATCH(F$6,$L$5:$L$11,0))*IF($E$2="Depth (mm)",(1),IF($E$2="Intensity (mm/hr)",12,0))</f>
        <v>1.2749868870343297</v>
      </c>
      <c r="G70" s="24">
        <f>INDEX('IDF Distributions'!$A$1:$AB$290,MATCH('Bulk Tool'!$A70,'IDF Distributions'!$A$1:$A$290,0),MATCH('Bulk Tool'!G$5,'IDF Distributions'!$A$1:$AB$1,0))*INDEX($N$5:$N$11,MATCH(G$6,$L$5:$L$11,0))*IF($E$2="Depth (mm)",(1),IF($E$2="Intensity (mm/hr)",12,0))</f>
        <v>1.4360433421683898</v>
      </c>
      <c r="H70" s="24">
        <f>INDEX('IDF Distributions'!$A$1:$AB$290,MATCH('Bulk Tool'!$A70,'IDF Distributions'!$A$1:$A$290,0),MATCH('Bulk Tool'!H$5,'IDF Distributions'!$A$1:$AB$1,0))*INDEX($N$5:$N$11,MATCH(H$6,$L$5:$L$11,0))*IF($E$2="Depth (mm)",(1),IF($E$2="Intensity (mm/hr)",12,0))</f>
        <v>1.6082828468836063</v>
      </c>
      <c r="I70" s="12" t="str">
        <f>IF(COUNTIF($H$7:H70,$H$7)&gt;1,"Do Not Copy","Copy")</f>
        <v>Copy</v>
      </c>
      <c r="L70"/>
      <c r="M70" s="2"/>
    </row>
    <row r="71" spans="1:13" x14ac:dyDescent="0.25">
      <c r="A71" s="128">
        <f t="shared" si="3"/>
        <v>0.2222222222222219</v>
      </c>
      <c r="B71" s="24">
        <f>INDEX('IDF Distributions'!$A$1:$AB$290,MATCH('Bulk Tool'!$A71,'IDF Distributions'!$A$1:$A$290,0),MATCH('Bulk Tool'!B$5,'IDF Distributions'!$A$1:$AB$1,0))*INDEX($N$5:$N$11,MATCH(B$6,$L$5:$L$11,0))*IF($E$2="Depth (mm)",(1),IF($E$2="Intensity (mm/hr)",12,0))</f>
        <v>0.60197421172891452</v>
      </c>
      <c r="C71" s="24">
        <f>INDEX('IDF Distributions'!$A$1:$AB$290,MATCH('Bulk Tool'!$A71,'IDF Distributions'!$A$1:$A$290,0),MATCH('Bulk Tool'!C$5,'IDF Distributions'!$A$1:$AB$1,0))*INDEX($N$5:$N$11,MATCH(C$6,$L$5:$L$11,0))*IF($E$2="Depth (mm)",(1),IF($E$2="Intensity (mm/hr)",12,0))</f>
        <v>0.80271125120004205</v>
      </c>
      <c r="D71" s="24">
        <f>INDEX('IDF Distributions'!$A$1:$AB$290,MATCH('Bulk Tool'!$A71,'IDF Distributions'!$A$1:$A$290,0),MATCH('Bulk Tool'!D$5,'IDF Distributions'!$A$1:$AB$1,0))*INDEX($N$5:$N$11,MATCH(D$6,$L$5:$L$11,0))*IF($E$2="Depth (mm)",(1),IF($E$2="Intensity (mm/hr)",12,0))</f>
        <v>0.94523850769249851</v>
      </c>
      <c r="E71" s="24">
        <f>INDEX('IDF Distributions'!$A$1:$AB$290,MATCH('Bulk Tool'!$A71,'IDF Distributions'!$A$1:$A$290,0),MATCH('Bulk Tool'!E$5,'IDF Distributions'!$A$1:$AB$1,0))*INDEX($N$5:$N$11,MATCH(E$6,$L$5:$L$11,0))*IF($E$2="Depth (mm)",(1),IF($E$2="Intensity (mm/hr)",12,0))</f>
        <v>1.1414558446599834</v>
      </c>
      <c r="F71" s="24">
        <f>INDEX('IDF Distributions'!$A$1:$AB$290,MATCH('Bulk Tool'!$A71,'IDF Distributions'!$A$1:$A$290,0),MATCH('Bulk Tool'!F$5,'IDF Distributions'!$A$1:$AB$1,0))*INDEX($N$5:$N$11,MATCH(F$6,$L$5:$L$11,0))*IF($E$2="Depth (mm)",(1),IF($E$2="Intensity (mm/hr)",12,0))</f>
        <v>1.2963255797043489</v>
      </c>
      <c r="G71" s="24">
        <f>INDEX('IDF Distributions'!$A$1:$AB$290,MATCH('Bulk Tool'!$A71,'IDF Distributions'!$A$1:$A$290,0),MATCH('Bulk Tool'!G$5,'IDF Distributions'!$A$1:$AB$1,0))*INDEX($N$5:$N$11,MATCH(G$6,$L$5:$L$11,0))*IF($E$2="Depth (mm)",(1),IF($E$2="Intensity (mm/hr)",12,0))</f>
        <v>1.4600775403636641</v>
      </c>
      <c r="H71" s="24">
        <f>INDEX('IDF Distributions'!$A$1:$AB$290,MATCH('Bulk Tool'!$A71,'IDF Distributions'!$A$1:$A$290,0),MATCH('Bulk Tool'!H$5,'IDF Distributions'!$A$1:$AB$1,0))*INDEX($N$5:$N$11,MATCH(H$6,$L$5:$L$11,0))*IF($E$2="Depth (mm)",(1),IF($E$2="Intensity (mm/hr)",12,0))</f>
        <v>1.6351997146138619</v>
      </c>
      <c r="I71" s="12" t="str">
        <f>IF(COUNTIF($H$7:H71,$H$7)&gt;1,"Do Not Copy","Copy")</f>
        <v>Copy</v>
      </c>
      <c r="L71"/>
      <c r="M71" s="2"/>
    </row>
    <row r="72" spans="1:13" x14ac:dyDescent="0.25">
      <c r="A72" s="128">
        <f t="shared" si="3"/>
        <v>0.22569444444444411</v>
      </c>
      <c r="B72" s="24">
        <f>INDEX('IDF Distributions'!$A$1:$AB$290,MATCH('Bulk Tool'!$A72,'IDF Distributions'!$A$1:$A$290,0),MATCH('Bulk Tool'!B$5,'IDF Distributions'!$A$1:$AB$1,0))*INDEX($N$5:$N$11,MATCH(B$6,$L$5:$L$11,0))*IF($E$2="Depth (mm)",(1),IF($E$2="Intensity (mm/hr)",12,0))</f>
        <v>0.61188325225120832</v>
      </c>
      <c r="C72" s="24">
        <f>INDEX('IDF Distributions'!$A$1:$AB$290,MATCH('Bulk Tool'!$A72,'IDF Distributions'!$A$1:$A$290,0),MATCH('Bulk Tool'!C$5,'IDF Distributions'!$A$1:$AB$1,0))*INDEX($N$5:$N$11,MATCH(C$6,$L$5:$L$11,0))*IF($E$2="Depth (mm)",(1),IF($E$2="Intensity (mm/hr)",12,0))</f>
        <v>0.81592460512927045</v>
      </c>
      <c r="D72" s="24">
        <f>INDEX('IDF Distributions'!$A$1:$AB$290,MATCH('Bulk Tool'!$A72,'IDF Distributions'!$A$1:$A$290,0),MATCH('Bulk Tool'!D$5,'IDF Distributions'!$A$1:$AB$1,0))*INDEX($N$5:$N$11,MATCH(D$6,$L$5:$L$11,0))*IF($E$2="Depth (mm)",(1),IF($E$2="Intensity (mm/hr)",12,0))</f>
        <v>0.96079798930061688</v>
      </c>
      <c r="E72" s="24">
        <f>INDEX('IDF Distributions'!$A$1:$AB$290,MATCH('Bulk Tool'!$A72,'IDF Distributions'!$A$1:$A$290,0),MATCH('Bulk Tool'!E$5,'IDF Distributions'!$A$1:$AB$1,0))*INDEX($N$5:$N$11,MATCH(E$6,$L$5:$L$11,0))*IF($E$2="Depth (mm)",(1),IF($E$2="Intensity (mm/hr)",12,0))</f>
        <v>1.1602452412799145</v>
      </c>
      <c r="F72" s="24">
        <f>INDEX('IDF Distributions'!$A$1:$AB$290,MATCH('Bulk Tool'!$A72,'IDF Distributions'!$A$1:$A$290,0),MATCH('Bulk Tool'!F$5,'IDF Distributions'!$A$1:$AB$1,0))*INDEX($N$5:$N$11,MATCH(F$6,$L$5:$L$11,0))*IF($E$2="Depth (mm)",(1),IF($E$2="Intensity (mm/hr)",12,0))</f>
        <v>1.3176642723743952</v>
      </c>
      <c r="G72" s="24">
        <f>INDEX('IDF Distributions'!$A$1:$AB$290,MATCH('Bulk Tool'!$A72,'IDF Distributions'!$A$1:$A$290,0),MATCH('Bulk Tool'!G$5,'IDF Distributions'!$A$1:$AB$1,0))*INDEX($N$5:$N$11,MATCH(G$6,$L$5:$L$11,0))*IF($E$2="Depth (mm)",(1),IF($E$2="Intensity (mm/hr)",12,0))</f>
        <v>1.4841117385589682</v>
      </c>
      <c r="H72" s="24">
        <f>INDEX('IDF Distributions'!$A$1:$AB$290,MATCH('Bulk Tool'!$A72,'IDF Distributions'!$A$1:$A$290,0),MATCH('Bulk Tool'!H$5,'IDF Distributions'!$A$1:$AB$1,0))*INDEX($N$5:$N$11,MATCH(H$6,$L$5:$L$11,0))*IF($E$2="Depth (mm)",(1),IF($E$2="Intensity (mm/hr)",12,0))</f>
        <v>1.6621165823441508</v>
      </c>
      <c r="I72" s="12" t="str">
        <f>IF(COUNTIF($H$7:H72,$H$7)&gt;1,"Do Not Copy","Copy")</f>
        <v>Copy</v>
      </c>
      <c r="L72"/>
      <c r="M72" s="2"/>
    </row>
    <row r="73" spans="1:13" x14ac:dyDescent="0.25">
      <c r="A73" s="128">
        <f t="shared" ref="A73:A136" si="4">A72+TIME(0,5,0)</f>
        <v>0.22916666666666632</v>
      </c>
      <c r="B73" s="24">
        <f>INDEX('IDF Distributions'!$A$1:$AB$290,MATCH('Bulk Tool'!$A73,'IDF Distributions'!$A$1:$A$290,0),MATCH('Bulk Tool'!B$5,'IDF Distributions'!$A$1:$AB$1,0))*INDEX($N$5:$N$11,MATCH(B$6,$L$5:$L$11,0))*IF($E$2="Depth (mm)",(1),IF($E$2="Intensity (mm/hr)",12,0))</f>
        <v>0.61683777251234706</v>
      </c>
      <c r="C73" s="24">
        <f>INDEX('IDF Distributions'!$A$1:$AB$290,MATCH('Bulk Tool'!$A73,'IDF Distributions'!$A$1:$A$290,0),MATCH('Bulk Tool'!C$5,'IDF Distributions'!$A$1:$AB$1,0))*INDEX($N$5:$N$11,MATCH(C$6,$L$5:$L$11,0))*IF($E$2="Depth (mm)",(1),IF($E$2="Intensity (mm/hr)",12,0))</f>
        <v>0.82253128209387361</v>
      </c>
      <c r="D73" s="24">
        <f>INDEX('IDF Distributions'!$A$1:$AB$290,MATCH('Bulk Tool'!$A73,'IDF Distributions'!$A$1:$A$290,0),MATCH('Bulk Tool'!D$5,'IDF Distributions'!$A$1:$AB$1,0))*INDEX($N$5:$N$11,MATCH(D$6,$L$5:$L$11,0))*IF($E$2="Depth (mm)",(1),IF($E$2="Intensity (mm/hr)",12,0))</f>
        <v>0.96857773010466308</v>
      </c>
      <c r="E73" s="24">
        <f>INDEX('IDF Distributions'!$A$1:$AB$290,MATCH('Bulk Tool'!$A73,'IDF Distributions'!$A$1:$A$290,0),MATCH('Bulk Tool'!E$5,'IDF Distributions'!$A$1:$AB$1,0))*INDEX($N$5:$N$11,MATCH(E$6,$L$5:$L$11,0))*IF($E$2="Depth (mm)",(1),IF($E$2="Intensity (mm/hr)",12,0))</f>
        <v>1.1696399395898645</v>
      </c>
      <c r="F73" s="24">
        <f>INDEX('IDF Distributions'!$A$1:$AB$290,MATCH('Bulk Tool'!$A73,'IDF Distributions'!$A$1:$A$290,0),MATCH('Bulk Tool'!F$5,'IDF Distributions'!$A$1:$AB$1,0))*INDEX($N$5:$N$11,MATCH(F$6,$L$5:$L$11,0))*IF($E$2="Depth (mm)",(1),IF($E$2="Intensity (mm/hr)",12,0))</f>
        <v>1.3283336187094004</v>
      </c>
      <c r="G73" s="24">
        <f>INDEX('IDF Distributions'!$A$1:$AB$290,MATCH('Bulk Tool'!$A73,'IDF Distributions'!$A$1:$A$290,0),MATCH('Bulk Tool'!G$5,'IDF Distributions'!$A$1:$AB$1,0))*INDEX($N$5:$N$11,MATCH(G$6,$L$5:$L$11,0))*IF($E$2="Depth (mm)",(1),IF($E$2="Intensity (mm/hr)",12,0))</f>
        <v>1.4961288376566004</v>
      </c>
      <c r="H73" s="24">
        <f>INDEX('IDF Distributions'!$A$1:$AB$290,MATCH('Bulk Tool'!$A73,'IDF Distributions'!$A$1:$A$290,0),MATCH('Bulk Tool'!H$5,'IDF Distributions'!$A$1:$AB$1,0))*INDEX($N$5:$N$11,MATCH(H$6,$L$5:$L$11,0))*IF($E$2="Depth (mm)",(1),IF($E$2="Intensity (mm/hr)",12,0))</f>
        <v>1.6755750162092731</v>
      </c>
      <c r="I73" s="12" t="str">
        <f>IF(COUNTIF($H$7:H73,$H$7)&gt;1,"Do Not Copy","Copy")</f>
        <v>Copy</v>
      </c>
      <c r="L73"/>
      <c r="M73" s="2"/>
    </row>
    <row r="74" spans="1:13" x14ac:dyDescent="0.25">
      <c r="A74" s="128">
        <f t="shared" si="4"/>
        <v>0.23263888888888853</v>
      </c>
      <c r="B74" s="24">
        <f>INDEX('IDF Distributions'!$A$1:$AB$290,MATCH('Bulk Tool'!$A74,'IDF Distributions'!$A$1:$A$290,0),MATCH('Bulk Tool'!B$5,'IDF Distributions'!$A$1:$AB$1,0))*INDEX($N$5:$N$11,MATCH(B$6,$L$5:$L$11,0))*IF($E$2="Depth (mm)",(1),IF($E$2="Intensity (mm/hr)",12,0))</f>
        <v>0.60692873199006547</v>
      </c>
      <c r="C74" s="24">
        <f>INDEX('IDF Distributions'!$A$1:$AB$290,MATCH('Bulk Tool'!$A74,'IDF Distributions'!$A$1:$A$290,0),MATCH('Bulk Tool'!C$5,'IDF Distributions'!$A$1:$AB$1,0))*INDEX($N$5:$N$11,MATCH(C$6,$L$5:$L$11,0))*IF($E$2="Depth (mm)",(1),IF($E$2="Intensity (mm/hr)",12,0))</f>
        <v>0.80931792816466164</v>
      </c>
      <c r="D74" s="24">
        <f>INDEX('IDF Distributions'!$A$1:$AB$290,MATCH('Bulk Tool'!$A74,'IDF Distributions'!$A$1:$A$290,0),MATCH('Bulk Tool'!D$5,'IDF Distributions'!$A$1:$AB$1,0))*INDEX($N$5:$N$11,MATCH(D$6,$L$5:$L$11,0))*IF($E$2="Depth (mm)",(1),IF($E$2="Intensity (mm/hr)",12,0))</f>
        <v>0.95301824849656414</v>
      </c>
      <c r="E74" s="24">
        <f>INDEX('IDF Distributions'!$A$1:$AB$290,MATCH('Bulk Tool'!$A74,'IDF Distributions'!$A$1:$A$290,0),MATCH('Bulk Tool'!E$5,'IDF Distributions'!$A$1:$AB$1,0))*INDEX($N$5:$N$11,MATCH(E$6,$L$5:$L$11,0))*IF($E$2="Depth (mm)",(1),IF($E$2="Intensity (mm/hr)",12,0))</f>
        <v>1.1508505429699567</v>
      </c>
      <c r="F74" s="24">
        <f>INDEX('IDF Distributions'!$A$1:$AB$290,MATCH('Bulk Tool'!$A74,'IDF Distributions'!$A$1:$A$290,0),MATCH('Bulk Tool'!F$5,'IDF Distributions'!$A$1:$AB$1,0))*INDEX($N$5:$N$11,MATCH(F$6,$L$5:$L$11,0))*IF($E$2="Depth (mm)",(1),IF($E$2="Intensity (mm/hr)",12,0))</f>
        <v>1.3069949260393809</v>
      </c>
      <c r="G74" s="24">
        <f>INDEX('IDF Distributions'!$A$1:$AB$290,MATCH('Bulk Tool'!$A74,'IDF Distributions'!$A$1:$A$290,0),MATCH('Bulk Tool'!G$5,'IDF Distributions'!$A$1:$AB$1,0))*INDEX($N$5:$N$11,MATCH(G$6,$L$5:$L$11,0))*IF($E$2="Depth (mm)",(1),IF($E$2="Intensity (mm/hr)",12,0))</f>
        <v>1.4720946394613261</v>
      </c>
      <c r="H74" s="24">
        <f>INDEX('IDF Distributions'!$A$1:$AB$290,MATCH('Bulk Tool'!$A74,'IDF Distributions'!$A$1:$A$290,0),MATCH('Bulk Tool'!H$5,'IDF Distributions'!$A$1:$AB$1,0))*INDEX($N$5:$N$11,MATCH(H$6,$L$5:$L$11,0))*IF($E$2="Depth (mm)",(1),IF($E$2="Intensity (mm/hr)",12,0))</f>
        <v>1.6486581484790177</v>
      </c>
      <c r="I74" s="12" t="str">
        <f>IF(COUNTIF($H$7:H74,$H$7)&gt;1,"Do Not Copy","Copy")</f>
        <v>Copy</v>
      </c>
      <c r="L74"/>
      <c r="M74" s="2"/>
    </row>
    <row r="75" spans="1:13" x14ac:dyDescent="0.25">
      <c r="A75" s="128">
        <f t="shared" si="4"/>
        <v>0.23611111111111074</v>
      </c>
      <c r="B75" s="24">
        <f>INDEX('IDF Distributions'!$A$1:$AB$290,MATCH('Bulk Tool'!$A75,'IDF Distributions'!$A$1:$A$290,0),MATCH('Bulk Tool'!B$5,'IDF Distributions'!$A$1:$AB$1,0))*INDEX($N$5:$N$11,MATCH(B$6,$L$5:$L$11,0))*IF($E$2="Depth (mm)",(1),IF($E$2="Intensity (mm/hr)",12,0))</f>
        <v>0.63170133329577971</v>
      </c>
      <c r="C75" s="24">
        <f>INDEX('IDF Distributions'!$A$1:$AB$290,MATCH('Bulk Tool'!$A75,'IDF Distributions'!$A$1:$A$290,0),MATCH('Bulk Tool'!C$5,'IDF Distributions'!$A$1:$AB$1,0))*INDEX($N$5:$N$11,MATCH(C$6,$L$5:$L$11,0))*IF($E$2="Depth (mm)",(1),IF($E$2="Intensity (mm/hr)",12,0))</f>
        <v>0.84235131298770516</v>
      </c>
      <c r="D75" s="24">
        <f>INDEX('IDF Distributions'!$A$1:$AB$290,MATCH('Bulk Tool'!$A75,'IDF Distributions'!$A$1:$A$290,0),MATCH('Bulk Tool'!D$5,'IDF Distributions'!$A$1:$AB$1,0))*INDEX($N$5:$N$11,MATCH(D$6,$L$5:$L$11,0))*IF($E$2="Depth (mm)",(1),IF($E$2="Intensity (mm/hr)",12,0))</f>
        <v>0.99191695251682765</v>
      </c>
      <c r="E75" s="24">
        <f>INDEX('IDF Distributions'!$A$1:$AB$290,MATCH('Bulk Tool'!$A75,'IDF Distributions'!$A$1:$A$290,0),MATCH('Bulk Tool'!E$5,'IDF Distributions'!$A$1:$AB$1,0))*INDEX($N$5:$N$11,MATCH(E$6,$L$5:$L$11,0))*IF($E$2="Depth (mm)",(1),IF($E$2="Intensity (mm/hr)",12,0))</f>
        <v>1.1978240345197455</v>
      </c>
      <c r="F75" s="24">
        <f>INDEX('IDF Distributions'!$A$1:$AB$290,MATCH('Bulk Tool'!$A75,'IDF Distributions'!$A$1:$A$290,0),MATCH('Bulk Tool'!F$5,'IDF Distributions'!$A$1:$AB$1,0))*INDEX($N$5:$N$11,MATCH(F$6,$L$5:$L$11,0))*IF($E$2="Depth (mm)",(1),IF($E$2="Intensity (mm/hr)",12,0))</f>
        <v>1.3603416577144516</v>
      </c>
      <c r="G75" s="24">
        <f>INDEX('IDF Distributions'!$A$1:$AB$290,MATCH('Bulk Tool'!$A75,'IDF Distributions'!$A$1:$A$290,0),MATCH('Bulk Tool'!G$5,'IDF Distributions'!$A$1:$AB$1,0))*INDEX($N$5:$N$11,MATCH(G$6,$L$5:$L$11,0))*IF($E$2="Depth (mm)",(1),IF($E$2="Intensity (mm/hr)",12,0))</f>
        <v>1.5321801349495365</v>
      </c>
      <c r="H75" s="24">
        <f>INDEX('IDF Distributions'!$A$1:$AB$290,MATCH('Bulk Tool'!$A75,'IDF Distributions'!$A$1:$A$290,0),MATCH('Bulk Tool'!H$5,'IDF Distributions'!$A$1:$AB$1,0))*INDEX($N$5:$N$11,MATCH(H$6,$L$5:$L$11,0))*IF($E$2="Depth (mm)",(1),IF($E$2="Intensity (mm/hr)",12,0))</f>
        <v>1.7159503178046842</v>
      </c>
      <c r="I75" s="12" t="str">
        <f>IF(COUNTIF($H$7:H75,$H$7)&gt;1,"Do Not Copy","Copy")</f>
        <v>Copy</v>
      </c>
      <c r="L75"/>
      <c r="M75" s="2"/>
    </row>
    <row r="76" spans="1:13" x14ac:dyDescent="0.25">
      <c r="A76" s="128">
        <f t="shared" si="4"/>
        <v>0.23958333333333295</v>
      </c>
      <c r="B76" s="24">
        <f>INDEX('IDF Distributions'!$A$1:$AB$290,MATCH('Bulk Tool'!$A76,'IDF Distributions'!$A$1:$A$290,0),MATCH('Bulk Tool'!B$5,'IDF Distributions'!$A$1:$AB$1,0))*INDEX($N$5:$N$11,MATCH(B$6,$L$5:$L$11,0))*IF($E$2="Depth (mm)",(1),IF($E$2="Intensity (mm/hr)",12,0))</f>
        <v>0.64161037381806529</v>
      </c>
      <c r="C76" s="24">
        <f>INDEX('IDF Distributions'!$A$1:$AB$290,MATCH('Bulk Tool'!$A76,'IDF Distributions'!$A$1:$A$290,0),MATCH('Bulk Tool'!C$5,'IDF Distributions'!$A$1:$AB$1,0))*INDEX($N$5:$N$11,MATCH(C$6,$L$5:$L$11,0))*IF($E$2="Depth (mm)",(1),IF($E$2="Intensity (mm/hr)",12,0))</f>
        <v>0.85556466691692268</v>
      </c>
      <c r="D76" s="24">
        <f>INDEX('IDF Distributions'!$A$1:$AB$290,MATCH('Bulk Tool'!$A76,'IDF Distributions'!$A$1:$A$290,0),MATCH('Bulk Tool'!D$5,'IDF Distributions'!$A$1:$AB$1,0))*INDEX($N$5:$N$11,MATCH(D$6,$L$5:$L$11,0))*IF($E$2="Depth (mm)",(1),IF($E$2="Intensity (mm/hr)",12,0))</f>
        <v>1.0074764341249329</v>
      </c>
      <c r="E76" s="24">
        <f>INDEX('IDF Distributions'!$A$1:$AB$290,MATCH('Bulk Tool'!$A76,'IDF Distributions'!$A$1:$A$290,0),MATCH('Bulk Tool'!E$5,'IDF Distributions'!$A$1:$AB$1,0))*INDEX($N$5:$N$11,MATCH(E$6,$L$5:$L$11,0))*IF($E$2="Depth (mm)",(1),IF($E$2="Intensity (mm/hr)",12,0))</f>
        <v>1.216613431139661</v>
      </c>
      <c r="F76" s="24">
        <f>INDEX('IDF Distributions'!$A$1:$AB$290,MATCH('Bulk Tool'!$A76,'IDF Distributions'!$A$1:$A$290,0),MATCH('Bulk Tool'!F$5,'IDF Distributions'!$A$1:$AB$1,0))*INDEX($N$5:$N$11,MATCH(F$6,$L$5:$L$11,0))*IF($E$2="Depth (mm)",(1),IF($E$2="Intensity (mm/hr)",12,0))</f>
        <v>1.3816803503844799</v>
      </c>
      <c r="G76" s="24">
        <f>INDEX('IDF Distributions'!$A$1:$AB$290,MATCH('Bulk Tool'!$A76,'IDF Distributions'!$A$1:$A$290,0),MATCH('Bulk Tool'!G$5,'IDF Distributions'!$A$1:$AB$1,0))*INDEX($N$5:$N$11,MATCH(G$6,$L$5:$L$11,0))*IF($E$2="Depth (mm)",(1),IF($E$2="Intensity (mm/hr)",12,0))</f>
        <v>1.5562143331448208</v>
      </c>
      <c r="H76" s="24">
        <f>INDEX('IDF Distributions'!$A$1:$AB$290,MATCH('Bulk Tool'!$A76,'IDF Distributions'!$A$1:$A$290,0),MATCH('Bulk Tool'!H$5,'IDF Distributions'!$A$1:$AB$1,0))*INDEX($N$5:$N$11,MATCH(H$6,$L$5:$L$11,0))*IF($E$2="Depth (mm)",(1),IF($E$2="Intensity (mm/hr)",12,0))</f>
        <v>1.7428671855349507</v>
      </c>
      <c r="I76" s="12" t="str">
        <f>IF(COUNTIF($H$7:H76,$H$7)&gt;1,"Do Not Copy","Copy")</f>
        <v>Copy</v>
      </c>
      <c r="L76"/>
      <c r="M76" s="2"/>
    </row>
    <row r="77" spans="1:13" x14ac:dyDescent="0.25">
      <c r="A77" s="128">
        <f t="shared" si="4"/>
        <v>0.24305555555555516</v>
      </c>
      <c r="B77" s="24">
        <f>INDEX('IDF Distributions'!$A$1:$AB$290,MATCH('Bulk Tool'!$A77,'IDF Distributions'!$A$1:$A$290,0),MATCH('Bulk Tool'!B$5,'IDF Distributions'!$A$1:$AB$1,0))*INDEX($N$5:$N$11,MATCH(B$6,$L$5:$L$11,0))*IF($E$2="Depth (mm)",(1),IF($E$2="Intensity (mm/hr)",12,0))</f>
        <v>0.6515194143403551</v>
      </c>
      <c r="C77" s="24">
        <f>INDEX('IDF Distributions'!$A$1:$AB$290,MATCH('Bulk Tool'!$A77,'IDF Distributions'!$A$1:$A$290,0),MATCH('Bulk Tool'!C$5,'IDF Distributions'!$A$1:$AB$1,0))*INDEX($N$5:$N$11,MATCH(C$6,$L$5:$L$11,0))*IF($E$2="Depth (mm)",(1),IF($E$2="Intensity (mm/hr)",12,0))</f>
        <v>0.86877802084614564</v>
      </c>
      <c r="D77" s="24">
        <f>INDEX('IDF Distributions'!$A$1:$AB$290,MATCH('Bulk Tool'!$A77,'IDF Distributions'!$A$1:$A$290,0),MATCH('Bulk Tool'!D$5,'IDF Distributions'!$A$1:$AB$1,0))*INDEX($N$5:$N$11,MATCH(D$6,$L$5:$L$11,0))*IF($E$2="Depth (mm)",(1),IF($E$2="Intensity (mm/hr)",12,0))</f>
        <v>1.0230359157330449</v>
      </c>
      <c r="E77" s="24">
        <f>INDEX('IDF Distributions'!$A$1:$AB$290,MATCH('Bulk Tool'!$A77,'IDF Distributions'!$A$1:$A$290,0),MATCH('Bulk Tool'!E$5,'IDF Distributions'!$A$1:$AB$1,0))*INDEX($N$5:$N$11,MATCH(E$6,$L$5:$L$11,0))*IF($E$2="Depth (mm)",(1),IF($E$2="Intensity (mm/hr)",12,0))</f>
        <v>1.2354028277595843</v>
      </c>
      <c r="F77" s="24">
        <f>INDEX('IDF Distributions'!$A$1:$AB$290,MATCH('Bulk Tool'!$A77,'IDF Distributions'!$A$1:$A$290,0),MATCH('Bulk Tool'!F$5,'IDF Distributions'!$A$1:$AB$1,0))*INDEX($N$5:$N$11,MATCH(F$6,$L$5:$L$11,0))*IF($E$2="Depth (mm)",(1),IF($E$2="Intensity (mm/hr)",12,0))</f>
        <v>1.4030190430545169</v>
      </c>
      <c r="G77" s="24">
        <f>INDEX('IDF Distributions'!$A$1:$AB$290,MATCH('Bulk Tool'!$A77,'IDF Distributions'!$A$1:$A$290,0),MATCH('Bulk Tool'!G$5,'IDF Distributions'!$A$1:$AB$1,0))*INDEX($N$5:$N$11,MATCH(G$6,$L$5:$L$11,0))*IF($E$2="Depth (mm)",(1),IF($E$2="Intensity (mm/hr)",12,0))</f>
        <v>1.5802485313401151</v>
      </c>
      <c r="H77" s="24">
        <f>INDEX('IDF Distributions'!$A$1:$AB$290,MATCH('Bulk Tool'!$A77,'IDF Distributions'!$A$1:$A$290,0),MATCH('Bulk Tool'!H$5,'IDF Distributions'!$A$1:$AB$1,0))*INDEX($N$5:$N$11,MATCH(H$6,$L$5:$L$11,0))*IF($E$2="Depth (mm)",(1),IF($E$2="Intensity (mm/hr)",12,0))</f>
        <v>1.7697840532652283</v>
      </c>
      <c r="I77" s="12" t="str">
        <f>IF(COUNTIF($H$7:H77,$H$7)&gt;1,"Do Not Copy","Copy")</f>
        <v>Copy</v>
      </c>
      <c r="L77"/>
      <c r="M77" s="2"/>
    </row>
    <row r="78" spans="1:13" x14ac:dyDescent="0.25">
      <c r="A78" s="128">
        <f t="shared" si="4"/>
        <v>0.24652777777777737</v>
      </c>
      <c r="B78" s="24">
        <f>INDEX('IDF Distributions'!$A$1:$AB$290,MATCH('Bulk Tool'!$A78,'IDF Distributions'!$A$1:$A$290,0),MATCH('Bulk Tool'!B$5,'IDF Distributions'!$A$1:$AB$1,0))*INDEX($N$5:$N$11,MATCH(B$6,$L$5:$L$11,0))*IF($E$2="Depth (mm)",(1),IF($E$2="Intensity (mm/hr)",12,0))</f>
        <v>0.66638297512377931</v>
      </c>
      <c r="C78" s="24">
        <f>INDEX('IDF Distributions'!$A$1:$AB$290,MATCH('Bulk Tool'!$A78,'IDF Distributions'!$A$1:$A$290,0),MATCH('Bulk Tool'!C$5,'IDF Distributions'!$A$1:$AB$1,0))*INDEX($N$5:$N$11,MATCH(C$6,$L$5:$L$11,0))*IF($E$2="Depth (mm)",(1),IF($E$2="Intensity (mm/hr)",12,0))</f>
        <v>0.88859805173996631</v>
      </c>
      <c r="D78" s="24">
        <f>INDEX('IDF Distributions'!$A$1:$AB$290,MATCH('Bulk Tool'!$A78,'IDF Distributions'!$A$1:$A$290,0),MATCH('Bulk Tool'!D$5,'IDF Distributions'!$A$1:$AB$1,0))*INDEX($N$5:$N$11,MATCH(D$6,$L$5:$L$11,0))*IF($E$2="Depth (mm)",(1),IF($E$2="Intensity (mm/hr)",12,0))</f>
        <v>1.0463751381451964</v>
      </c>
      <c r="E78" s="24">
        <f>INDEX('IDF Distributions'!$A$1:$AB$290,MATCH('Bulk Tool'!$A78,'IDF Distributions'!$A$1:$A$290,0),MATCH('Bulk Tool'!E$5,'IDF Distributions'!$A$1:$AB$1,0))*INDEX($N$5:$N$11,MATCH(E$6,$L$5:$L$11,0))*IF($E$2="Depth (mm)",(1),IF($E$2="Intensity (mm/hr)",12,0))</f>
        <v>1.2635869226894496</v>
      </c>
      <c r="F78" s="24">
        <f>INDEX('IDF Distributions'!$A$1:$AB$290,MATCH('Bulk Tool'!$A78,'IDF Distributions'!$A$1:$A$290,0),MATCH('Bulk Tool'!F$5,'IDF Distributions'!$A$1:$AB$1,0))*INDEX($N$5:$N$11,MATCH(F$6,$L$5:$L$11,0))*IF($E$2="Depth (mm)",(1),IF($E$2="Intensity (mm/hr)",12,0))</f>
        <v>1.4350270820595505</v>
      </c>
      <c r="G78" s="24">
        <f>INDEX('IDF Distributions'!$A$1:$AB$290,MATCH('Bulk Tool'!$A78,'IDF Distributions'!$A$1:$A$290,0),MATCH('Bulk Tool'!G$5,'IDF Distributions'!$A$1:$AB$1,0))*INDEX($N$5:$N$11,MATCH(G$6,$L$5:$L$11,0))*IF($E$2="Depth (mm)",(1),IF($E$2="Intensity (mm/hr)",12,0))</f>
        <v>1.6162998286330312</v>
      </c>
      <c r="H78" s="24">
        <f>INDEX('IDF Distributions'!$A$1:$AB$290,MATCH('Bulk Tool'!$A78,'IDF Distributions'!$A$1:$A$290,0),MATCH('Bulk Tool'!H$5,'IDF Distributions'!$A$1:$AB$1,0))*INDEX($N$5:$N$11,MATCH(H$6,$L$5:$L$11,0))*IF($E$2="Depth (mm)",(1),IF($E$2="Intensity (mm/hr)",12,0))</f>
        <v>1.810159354860617</v>
      </c>
      <c r="I78" s="12" t="str">
        <f>IF(COUNTIF($H$7:H78,$H$7)&gt;1,"Do Not Copy","Copy")</f>
        <v>Copy</v>
      </c>
      <c r="L78"/>
      <c r="M78" s="2"/>
    </row>
    <row r="79" spans="1:13" x14ac:dyDescent="0.25">
      <c r="A79" s="128">
        <f t="shared" si="4"/>
        <v>0.24999999999999958</v>
      </c>
      <c r="B79" s="24">
        <f>INDEX('IDF Distributions'!$A$1:$AB$290,MATCH('Bulk Tool'!$A79,'IDF Distributions'!$A$1:$A$290,0),MATCH('Bulk Tool'!B$5,'IDF Distributions'!$A$1:$AB$1,0))*INDEX($N$5:$N$11,MATCH(B$6,$L$5:$L$11,0))*IF($E$2="Depth (mm)",(1),IF($E$2="Intensity (mm/hr)",12,0))</f>
        <v>0.69363283656006902</v>
      </c>
      <c r="C79" s="24">
        <f>INDEX('IDF Distributions'!$A$1:$AB$290,MATCH('Bulk Tool'!$A79,'IDF Distributions'!$A$1:$A$290,0),MATCH('Bulk Tool'!C$5,'IDF Distributions'!$A$1:$AB$1,0))*INDEX($N$5:$N$11,MATCH(C$6,$L$5:$L$11,0))*IF($E$2="Depth (mm)",(1),IF($E$2="Intensity (mm/hr)",12,0))</f>
        <v>0.92493477504531973</v>
      </c>
      <c r="D79" s="24">
        <f>INDEX('IDF Distributions'!$A$1:$AB$290,MATCH('Bulk Tool'!$A79,'IDF Distributions'!$A$1:$A$290,0),MATCH('Bulk Tool'!D$5,'IDF Distributions'!$A$1:$AB$1,0))*INDEX($N$5:$N$11,MATCH(D$6,$L$5:$L$11,0))*IF($E$2="Depth (mm)",(1),IF($E$2="Intensity (mm/hr)",12,0))</f>
        <v>1.0891637125674927</v>
      </c>
      <c r="E79" s="24">
        <f>INDEX('IDF Distributions'!$A$1:$AB$290,MATCH('Bulk Tool'!$A79,'IDF Distributions'!$A$1:$A$290,0),MATCH('Bulk Tool'!E$5,'IDF Distributions'!$A$1:$AB$1,0))*INDEX($N$5:$N$11,MATCH(E$6,$L$5:$L$11,0))*IF($E$2="Depth (mm)",(1),IF($E$2="Intensity (mm/hr)",12,0))</f>
        <v>1.3152577633942251</v>
      </c>
      <c r="F79" s="24">
        <f>INDEX('IDF Distributions'!$A$1:$AB$290,MATCH('Bulk Tool'!$A79,'IDF Distributions'!$A$1:$A$290,0),MATCH('Bulk Tool'!F$5,'IDF Distributions'!$A$1:$AB$1,0))*INDEX($N$5:$N$11,MATCH(F$6,$L$5:$L$11,0))*IF($E$2="Depth (mm)",(1),IF($E$2="Intensity (mm/hr)",12,0))</f>
        <v>1.4937084869021369</v>
      </c>
      <c r="G79" s="24">
        <f>INDEX('IDF Distributions'!$A$1:$AB$290,MATCH('Bulk Tool'!$A79,'IDF Distributions'!$A$1:$A$290,0),MATCH('Bulk Tool'!G$5,'IDF Distributions'!$A$1:$AB$1,0))*INDEX($N$5:$N$11,MATCH(G$6,$L$5:$L$11,0))*IF($E$2="Depth (mm)",(1),IF($E$2="Intensity (mm/hr)",12,0))</f>
        <v>1.682393873670073</v>
      </c>
      <c r="H79" s="24">
        <f>INDEX('IDF Distributions'!$A$1:$AB$290,MATCH('Bulk Tool'!$A79,'IDF Distributions'!$A$1:$A$290,0),MATCH('Bulk Tool'!H$5,'IDF Distributions'!$A$1:$AB$1,0))*INDEX($N$5:$N$11,MATCH(H$6,$L$5:$L$11,0))*IF($E$2="Depth (mm)",(1),IF($E$2="Intensity (mm/hr)",12,0))</f>
        <v>1.8841807411188616</v>
      </c>
      <c r="I79" s="12" t="str">
        <f>IF(COUNTIF($H$7:H79,$H$7)&gt;1,"Do Not Copy","Copy")</f>
        <v>Copy</v>
      </c>
      <c r="L79"/>
      <c r="M79" s="2"/>
    </row>
    <row r="80" spans="1:13" x14ac:dyDescent="0.25">
      <c r="A80" s="128">
        <f t="shared" si="4"/>
        <v>0.25347222222222182</v>
      </c>
      <c r="B80" s="24">
        <f>INDEX('IDF Distributions'!$A$1:$AB$290,MATCH('Bulk Tool'!$A80,'IDF Distributions'!$A$1:$A$290,0),MATCH('Bulk Tool'!B$5,'IDF Distributions'!$A$1:$AB$1,0))*INDEX($N$5:$N$11,MATCH(B$6,$L$5:$L$11,0))*IF($E$2="Depth (mm)",(1),IF($E$2="Intensity (mm/hr)",12,0))</f>
        <v>0.74317803917150549</v>
      </c>
      <c r="C80" s="24">
        <f>INDEX('IDF Distributions'!$A$1:$AB$290,MATCH('Bulk Tool'!$A80,'IDF Distributions'!$A$1:$A$290,0),MATCH('Bulk Tool'!C$5,'IDF Distributions'!$A$1:$AB$1,0))*INDEX($N$5:$N$11,MATCH(C$6,$L$5:$L$11,0))*IF($E$2="Depth (mm)",(1),IF($E$2="Intensity (mm/hr)",12,0))</f>
        <v>0.99100154469141788</v>
      </c>
      <c r="D80" s="24">
        <f>INDEX('IDF Distributions'!$A$1:$AB$290,MATCH('Bulk Tool'!$A80,'IDF Distributions'!$A$1:$A$290,0),MATCH('Bulk Tool'!D$5,'IDF Distributions'!$A$1:$AB$1,0))*INDEX($N$5:$N$11,MATCH(D$6,$L$5:$L$11,0))*IF($E$2="Depth (mm)",(1),IF($E$2="Intensity (mm/hr)",12,0))</f>
        <v>1.1669611206080326</v>
      </c>
      <c r="E80" s="24">
        <f>INDEX('IDF Distributions'!$A$1:$AB$290,MATCH('Bulk Tool'!$A80,'IDF Distributions'!$A$1:$A$290,0),MATCH('Bulk Tool'!E$5,'IDF Distributions'!$A$1:$AB$1,0))*INDEX($N$5:$N$11,MATCH(E$6,$L$5:$L$11,0))*IF($E$2="Depth (mm)",(1),IF($E$2="Intensity (mm/hr)",12,0))</f>
        <v>1.4092047464938182</v>
      </c>
      <c r="F80" s="24">
        <f>INDEX('IDF Distributions'!$A$1:$AB$290,MATCH('Bulk Tool'!$A80,'IDF Distributions'!$A$1:$A$290,0),MATCH('Bulk Tool'!F$5,'IDF Distributions'!$A$1:$AB$1,0))*INDEX($N$5:$N$11,MATCH(F$6,$L$5:$L$11,0))*IF($E$2="Depth (mm)",(1),IF($E$2="Intensity (mm/hr)",12,0))</f>
        <v>1.6004019502522959</v>
      </c>
      <c r="G80" s="24">
        <f>INDEX('IDF Distributions'!$A$1:$AB$290,MATCH('Bulk Tool'!$A80,'IDF Distributions'!$A$1:$A$290,0),MATCH('Bulk Tool'!G$5,'IDF Distributions'!$A$1:$AB$1,0))*INDEX($N$5:$N$11,MATCH(G$6,$L$5:$L$11,0))*IF($E$2="Depth (mm)",(1),IF($E$2="Intensity (mm/hr)",12,0))</f>
        <v>1.8025648646465138</v>
      </c>
      <c r="H80" s="24">
        <f>INDEX('IDF Distributions'!$A$1:$AB$290,MATCH('Bulk Tool'!$A80,'IDF Distributions'!$A$1:$A$290,0),MATCH('Bulk Tool'!H$5,'IDF Distributions'!$A$1:$AB$1,0))*INDEX($N$5:$N$11,MATCH(H$6,$L$5:$L$11,0))*IF($E$2="Depth (mm)",(1),IF($E$2="Intensity (mm/hr)",12,0))</f>
        <v>2.0187650797702168</v>
      </c>
      <c r="I80" s="12" t="str">
        <f>IF(COUNTIF($H$7:H80,$H$7)&gt;1,"Do Not Copy","Copy")</f>
        <v>Copy</v>
      </c>
      <c r="L80"/>
      <c r="M80" s="2"/>
    </row>
    <row r="81" spans="1:13" x14ac:dyDescent="0.25">
      <c r="A81" s="128">
        <f t="shared" si="4"/>
        <v>0.25694444444444403</v>
      </c>
      <c r="B81" s="24">
        <f>INDEX('IDF Distributions'!$A$1:$AB$290,MATCH('Bulk Tool'!$A81,'IDF Distributions'!$A$1:$A$290,0),MATCH('Bulk Tool'!B$5,'IDF Distributions'!$A$1:$AB$1,0))*INDEX($N$5:$N$11,MATCH(B$6,$L$5:$L$11,0))*IF($E$2="Depth (mm)",(1),IF($E$2="Intensity (mm/hr)",12,0))</f>
        <v>0.75556433982436255</v>
      </c>
      <c r="C81" s="24">
        <f>INDEX('IDF Distributions'!$A$1:$AB$290,MATCH('Bulk Tool'!$A81,'IDF Distributions'!$A$1:$A$290,0),MATCH('Bulk Tool'!C$5,'IDF Distributions'!$A$1:$AB$1,0))*INDEX($N$5:$N$11,MATCH(C$6,$L$5:$L$11,0))*IF($E$2="Depth (mm)",(1),IF($E$2="Intensity (mm/hr)",12,0))</f>
        <v>1.0075182371029396</v>
      </c>
      <c r="D81" s="24">
        <f>INDEX('IDF Distributions'!$A$1:$AB$290,MATCH('Bulk Tool'!$A81,'IDF Distributions'!$A$1:$A$290,0),MATCH('Bulk Tool'!D$5,'IDF Distributions'!$A$1:$AB$1,0))*INDEX($N$5:$N$11,MATCH(D$6,$L$5:$L$11,0))*IF($E$2="Depth (mm)",(1),IF($E$2="Intensity (mm/hr)",12,0))</f>
        <v>1.1864104726181641</v>
      </c>
      <c r="E81" s="24">
        <f>INDEX('IDF Distributions'!$A$1:$AB$290,MATCH('Bulk Tool'!$A81,'IDF Distributions'!$A$1:$A$290,0),MATCH('Bulk Tool'!E$5,'IDF Distributions'!$A$1:$AB$1,0))*INDEX($N$5:$N$11,MATCH(E$6,$L$5:$L$11,0))*IF($E$2="Depth (mm)",(1),IF($E$2="Intensity (mm/hr)",12,0))</f>
        <v>1.4326914922687126</v>
      </c>
      <c r="F81" s="24">
        <f>INDEX('IDF Distributions'!$A$1:$AB$290,MATCH('Bulk Tool'!$A81,'IDF Distributions'!$A$1:$A$290,0),MATCH('Bulk Tool'!F$5,'IDF Distributions'!$A$1:$AB$1,0))*INDEX($N$5:$N$11,MATCH(F$6,$L$5:$L$11,0))*IF($E$2="Depth (mm)",(1),IF($E$2="Intensity (mm/hr)",12,0))</f>
        <v>1.6270753160898312</v>
      </c>
      <c r="G81" s="24">
        <f>INDEX('IDF Distributions'!$A$1:$AB$290,MATCH('Bulk Tool'!$A81,'IDF Distributions'!$A$1:$A$290,0),MATCH('Bulk Tool'!G$5,'IDF Distributions'!$A$1:$AB$1,0))*INDEX($N$5:$N$11,MATCH(G$6,$L$5:$L$11,0))*IF($E$2="Depth (mm)",(1),IF($E$2="Intensity (mm/hr)",12,0))</f>
        <v>1.832607612390619</v>
      </c>
      <c r="H81" s="24">
        <f>INDEX('IDF Distributions'!$A$1:$AB$290,MATCH('Bulk Tool'!$A81,'IDF Distributions'!$A$1:$A$290,0),MATCH('Bulk Tool'!H$5,'IDF Distributions'!$A$1:$AB$1,0))*INDEX($N$5:$N$11,MATCH(H$6,$L$5:$L$11,0))*IF($E$2="Depth (mm)",(1),IF($E$2="Intensity (mm/hr)",12,0))</f>
        <v>2.0524111644330496</v>
      </c>
      <c r="I81" s="12" t="str">
        <f>IF(COUNTIF($H$7:H81,$H$7)&gt;1,"Do Not Copy","Copy")</f>
        <v>Copy</v>
      </c>
      <c r="L81"/>
      <c r="M81" s="2"/>
    </row>
    <row r="82" spans="1:13" x14ac:dyDescent="0.25">
      <c r="A82" s="128">
        <f t="shared" si="4"/>
        <v>0.26041666666666624</v>
      </c>
      <c r="B82" s="24">
        <f>INDEX('IDF Distributions'!$A$1:$AB$290,MATCH('Bulk Tool'!$A82,'IDF Distributions'!$A$1:$A$290,0),MATCH('Bulk Tool'!B$5,'IDF Distributions'!$A$1:$AB$1,0))*INDEX($N$5:$N$11,MATCH(B$6,$L$5:$L$11,0))*IF($E$2="Depth (mm)",(1),IF($E$2="Intensity (mm/hr)",12,0))</f>
        <v>0.76547338034665224</v>
      </c>
      <c r="C82" s="24">
        <f>INDEX('IDF Distributions'!$A$1:$AB$290,MATCH('Bulk Tool'!$A82,'IDF Distributions'!$A$1:$A$290,0),MATCH('Bulk Tool'!C$5,'IDF Distributions'!$A$1:$AB$1,0))*INDEX($N$5:$N$11,MATCH(C$6,$L$5:$L$11,0))*IF($E$2="Depth (mm)",(1),IF($E$2="Intensity (mm/hr)",12,0))</f>
        <v>1.0207315910321628</v>
      </c>
      <c r="D82" s="24">
        <f>INDEX('IDF Distributions'!$A$1:$AB$290,MATCH('Bulk Tool'!$A82,'IDF Distributions'!$A$1:$A$290,0),MATCH('Bulk Tool'!D$5,'IDF Distributions'!$A$1:$AB$1,0))*INDEX($N$5:$N$11,MATCH(D$6,$L$5:$L$11,0))*IF($E$2="Depth (mm)",(1),IF($E$2="Intensity (mm/hr)",12,0))</f>
        <v>1.2019699542262761</v>
      </c>
      <c r="E82" s="24">
        <f>INDEX('IDF Distributions'!$A$1:$AB$290,MATCH('Bulk Tool'!$A82,'IDF Distributions'!$A$1:$A$290,0),MATCH('Bulk Tool'!E$5,'IDF Distributions'!$A$1:$AB$1,0))*INDEX($N$5:$N$11,MATCH(E$6,$L$5:$L$11,0))*IF($E$2="Depth (mm)",(1),IF($E$2="Intensity (mm/hr)",12,0))</f>
        <v>1.4514808888886359</v>
      </c>
      <c r="F82" s="24">
        <f>INDEX('IDF Distributions'!$A$1:$AB$290,MATCH('Bulk Tool'!$A82,'IDF Distributions'!$A$1:$A$290,0),MATCH('Bulk Tool'!F$5,'IDF Distributions'!$A$1:$AB$1,0))*INDEX($N$5:$N$11,MATCH(F$6,$L$5:$L$11,0))*IF($E$2="Depth (mm)",(1),IF($E$2="Intensity (mm/hr)",12,0))</f>
        <v>1.6484140087598684</v>
      </c>
      <c r="G82" s="24">
        <f>INDEX('IDF Distributions'!$A$1:$AB$290,MATCH('Bulk Tool'!$A82,'IDF Distributions'!$A$1:$A$290,0),MATCH('Bulk Tool'!G$5,'IDF Distributions'!$A$1:$AB$1,0))*INDEX($N$5:$N$11,MATCH(G$6,$L$5:$L$11,0))*IF($E$2="Depth (mm)",(1),IF($E$2="Intensity (mm/hr)",12,0))</f>
        <v>1.8566418105859133</v>
      </c>
      <c r="H82" s="24">
        <f>INDEX('IDF Distributions'!$A$1:$AB$290,MATCH('Bulk Tool'!$A82,'IDF Distributions'!$A$1:$A$290,0),MATCH('Bulk Tool'!H$5,'IDF Distributions'!$A$1:$AB$1,0))*INDEX($N$5:$N$11,MATCH(H$6,$L$5:$L$11,0))*IF($E$2="Depth (mm)",(1),IF($E$2="Intensity (mm/hr)",12,0))</f>
        <v>2.0793280321633274</v>
      </c>
      <c r="I82" s="12" t="str">
        <f>IF(COUNTIF($H$7:H82,$H$7)&gt;1,"Do Not Copy","Copy")</f>
        <v>Copy</v>
      </c>
      <c r="L82"/>
      <c r="M82" s="2"/>
    </row>
    <row r="83" spans="1:13" x14ac:dyDescent="0.25">
      <c r="A83" s="128">
        <f t="shared" si="4"/>
        <v>0.26388888888888845</v>
      </c>
      <c r="B83" s="24">
        <f>INDEX('IDF Distributions'!$A$1:$AB$290,MATCH('Bulk Tool'!$A83,'IDF Distributions'!$A$1:$A$290,0),MATCH('Bulk Tool'!B$5,'IDF Distributions'!$A$1:$AB$1,0))*INDEX($N$5:$N$11,MATCH(B$6,$L$5:$L$11,0))*IF($E$2="Depth (mm)",(1),IF($E$2="Intensity (mm/hr)",12,0))</f>
        <v>0.77538242086893372</v>
      </c>
      <c r="C83" s="24">
        <f>INDEX('IDF Distributions'!$A$1:$AB$290,MATCH('Bulk Tool'!$A83,'IDF Distributions'!$A$1:$A$290,0),MATCH('Bulk Tool'!C$5,'IDF Distributions'!$A$1:$AB$1,0))*INDEX($N$5:$N$11,MATCH(C$6,$L$5:$L$11,0))*IF($E$2="Depth (mm)",(1),IF($E$2="Intensity (mm/hr)",12,0))</f>
        <v>1.0339449449613747</v>
      </c>
      <c r="D83" s="24">
        <f>INDEX('IDF Distributions'!$A$1:$AB$290,MATCH('Bulk Tool'!$A83,'IDF Distributions'!$A$1:$A$290,0),MATCH('Bulk Tool'!D$5,'IDF Distributions'!$A$1:$AB$1,0))*INDEX($N$5:$N$11,MATCH(D$6,$L$5:$L$11,0))*IF($E$2="Depth (mm)",(1),IF($E$2="Intensity (mm/hr)",12,0))</f>
        <v>1.2175294358343749</v>
      </c>
      <c r="E83" s="24">
        <f>INDEX('IDF Distributions'!$A$1:$AB$290,MATCH('Bulk Tool'!$A83,'IDF Distributions'!$A$1:$A$290,0),MATCH('Bulk Tool'!E$5,'IDF Distributions'!$A$1:$AB$1,0))*INDEX($N$5:$N$11,MATCH(E$6,$L$5:$L$11,0))*IF($E$2="Depth (mm)",(1),IF($E$2="Intensity (mm/hr)",12,0))</f>
        <v>1.4702702855085437</v>
      </c>
      <c r="F83" s="24">
        <f>INDEX('IDF Distributions'!$A$1:$AB$290,MATCH('Bulk Tool'!$A83,'IDF Distributions'!$A$1:$A$290,0),MATCH('Bulk Tool'!F$5,'IDF Distributions'!$A$1:$AB$1,0))*INDEX($N$5:$N$11,MATCH(F$6,$L$5:$L$11,0))*IF($E$2="Depth (mm)",(1),IF($E$2="Intensity (mm/hr)",12,0))</f>
        <v>1.6697527014298879</v>
      </c>
      <c r="G83" s="24">
        <f>INDEX('IDF Distributions'!$A$1:$AB$290,MATCH('Bulk Tool'!$A83,'IDF Distributions'!$A$1:$A$290,0),MATCH('Bulk Tool'!G$5,'IDF Distributions'!$A$1:$AB$1,0))*INDEX($N$5:$N$11,MATCH(G$6,$L$5:$L$11,0))*IF($E$2="Depth (mm)",(1),IF($E$2="Intensity (mm/hr)",12,0))</f>
        <v>1.8806760087811876</v>
      </c>
      <c r="H83" s="24">
        <f>INDEX('IDF Distributions'!$A$1:$AB$290,MATCH('Bulk Tool'!$A83,'IDF Distributions'!$A$1:$A$290,0),MATCH('Bulk Tool'!H$5,'IDF Distributions'!$A$1:$AB$1,0))*INDEX($N$5:$N$11,MATCH(H$6,$L$5:$L$11,0))*IF($E$2="Depth (mm)",(1),IF($E$2="Intensity (mm/hr)",12,0))</f>
        <v>2.106244899893583</v>
      </c>
      <c r="I83" s="12" t="str">
        <f>IF(COUNTIF($H$7:H83,$H$7)&gt;1,"Do Not Copy","Copy")</f>
        <v>Copy</v>
      </c>
      <c r="L83"/>
      <c r="M83" s="2"/>
    </row>
    <row r="84" spans="1:13" x14ac:dyDescent="0.25">
      <c r="A84" s="128">
        <f t="shared" si="4"/>
        <v>0.26736111111111066</v>
      </c>
      <c r="B84" s="24">
        <f>INDEX('IDF Distributions'!$A$1:$AB$290,MATCH('Bulk Tool'!$A84,'IDF Distributions'!$A$1:$A$290,0),MATCH('Bulk Tool'!B$5,'IDF Distributions'!$A$1:$AB$1,0))*INDEX($N$5:$N$11,MATCH(B$6,$L$5:$L$11,0))*IF($E$2="Depth (mm)",(1),IF($E$2="Intensity (mm/hr)",12,0))</f>
        <v>0.78529146139122363</v>
      </c>
      <c r="C84" s="24">
        <f>INDEX('IDF Distributions'!$A$1:$AB$290,MATCH('Bulk Tool'!$A84,'IDF Distributions'!$A$1:$A$290,0),MATCH('Bulk Tool'!C$5,'IDF Distributions'!$A$1:$AB$1,0))*INDEX($N$5:$N$11,MATCH(C$6,$L$5:$L$11,0))*IF($E$2="Depth (mm)",(1),IF($E$2="Intensity (mm/hr)",12,0))</f>
        <v>1.0471582988905976</v>
      </c>
      <c r="D84" s="24">
        <f>INDEX('IDF Distributions'!$A$1:$AB$290,MATCH('Bulk Tool'!$A84,'IDF Distributions'!$A$1:$A$290,0),MATCH('Bulk Tool'!D$5,'IDF Distributions'!$A$1:$AB$1,0))*INDEX($N$5:$N$11,MATCH(D$6,$L$5:$L$11,0))*IF($E$2="Depth (mm)",(1),IF($E$2="Intensity (mm/hr)",12,0))</f>
        <v>1.2330889174424868</v>
      </c>
      <c r="E84" s="24">
        <f>INDEX('IDF Distributions'!$A$1:$AB$290,MATCH('Bulk Tool'!$A84,'IDF Distributions'!$A$1:$A$290,0),MATCH('Bulk Tool'!E$5,'IDF Distributions'!$A$1:$AB$1,0))*INDEX($N$5:$N$11,MATCH(E$6,$L$5:$L$11,0))*IF($E$2="Depth (mm)",(1),IF($E$2="Intensity (mm/hr)",12,0))</f>
        <v>1.4890596821284667</v>
      </c>
      <c r="F84" s="24">
        <f>INDEX('IDF Distributions'!$A$1:$AB$290,MATCH('Bulk Tool'!$A84,'IDF Distributions'!$A$1:$A$290,0),MATCH('Bulk Tool'!F$5,'IDF Distributions'!$A$1:$AB$1,0))*INDEX($N$5:$N$11,MATCH(F$6,$L$5:$L$11,0))*IF($E$2="Depth (mm)",(1),IF($E$2="Intensity (mm/hr)",12,0))</f>
        <v>1.6910913940999248</v>
      </c>
      <c r="G84" s="24">
        <f>INDEX('IDF Distributions'!$A$1:$AB$290,MATCH('Bulk Tool'!$A84,'IDF Distributions'!$A$1:$A$290,0),MATCH('Bulk Tool'!G$5,'IDF Distributions'!$A$1:$AB$1,0))*INDEX($N$5:$N$11,MATCH(G$6,$L$5:$L$11,0))*IF($E$2="Depth (mm)",(1),IF($E$2="Intensity (mm/hr)",12,0))</f>
        <v>1.9047102069764814</v>
      </c>
      <c r="H84" s="24">
        <f>INDEX('IDF Distributions'!$A$1:$AB$290,MATCH('Bulk Tool'!$A84,'IDF Distributions'!$A$1:$A$290,0),MATCH('Bulk Tool'!H$5,'IDF Distributions'!$A$1:$AB$1,0))*INDEX($N$5:$N$11,MATCH(H$6,$L$5:$L$11,0))*IF($E$2="Depth (mm)",(1),IF($E$2="Intensity (mm/hr)",12,0))</f>
        <v>2.1331617676238608</v>
      </c>
      <c r="I84" s="12" t="str">
        <f>IF(COUNTIF($H$7:H84,$H$7)&gt;1,"Do Not Copy","Copy")</f>
        <v>Copy</v>
      </c>
      <c r="L84"/>
      <c r="M84" s="2"/>
    </row>
    <row r="85" spans="1:13" x14ac:dyDescent="0.25">
      <c r="A85" s="128">
        <f t="shared" si="4"/>
        <v>0.27083333333333287</v>
      </c>
      <c r="B85" s="24">
        <f>INDEX('IDF Distributions'!$A$1:$AB$290,MATCH('Bulk Tool'!$A85,'IDF Distributions'!$A$1:$A$290,0),MATCH('Bulk Tool'!B$5,'IDF Distributions'!$A$1:$AB$1,0))*INDEX($N$5:$N$11,MATCH(B$6,$L$5:$L$11,0))*IF($E$2="Depth (mm)",(1),IF($E$2="Intensity (mm/hr)",12,0))</f>
        <v>0.78033694113008067</v>
      </c>
      <c r="C85" s="24">
        <f>INDEX('IDF Distributions'!$A$1:$AB$290,MATCH('Bulk Tool'!$A85,'IDF Distributions'!$A$1:$A$290,0),MATCH('Bulk Tool'!C$5,'IDF Distributions'!$A$1:$AB$1,0))*INDEX($N$5:$N$11,MATCH(C$6,$L$5:$L$11,0))*IF($E$2="Depth (mm)",(1),IF($E$2="Intensity (mm/hr)",12,0))</f>
        <v>1.0405516219259887</v>
      </c>
      <c r="D85" s="24">
        <f>INDEX('IDF Distributions'!$A$1:$AB$290,MATCH('Bulk Tool'!$A85,'IDF Distributions'!$A$1:$A$290,0),MATCH('Bulk Tool'!D$5,'IDF Distributions'!$A$1:$AB$1,0))*INDEX($N$5:$N$11,MATCH(D$6,$L$5:$L$11,0))*IF($E$2="Depth (mm)",(1),IF($E$2="Intensity (mm/hr)",12,0))</f>
        <v>1.2253091766384341</v>
      </c>
      <c r="E85" s="24">
        <f>INDEX('IDF Distributions'!$A$1:$AB$290,MATCH('Bulk Tool'!$A85,'IDF Distributions'!$A$1:$A$290,0),MATCH('Bulk Tool'!E$5,'IDF Distributions'!$A$1:$AB$1,0))*INDEX($N$5:$N$11,MATCH(E$6,$L$5:$L$11,0))*IF($E$2="Depth (mm)",(1),IF($E$2="Intensity (mm/hr)",12,0))</f>
        <v>1.4796649838185092</v>
      </c>
      <c r="F85" s="24">
        <f>INDEX('IDF Distributions'!$A$1:$AB$290,MATCH('Bulk Tool'!$A85,'IDF Distributions'!$A$1:$A$290,0),MATCH('Bulk Tool'!F$5,'IDF Distributions'!$A$1:$AB$1,0))*INDEX($N$5:$N$11,MATCH(F$6,$L$5:$L$11,0))*IF($E$2="Depth (mm)",(1),IF($E$2="Intensity (mm/hr)",12,0))</f>
        <v>1.6804220477649108</v>
      </c>
      <c r="G85" s="24">
        <f>INDEX('IDF Distributions'!$A$1:$AB$290,MATCH('Bulk Tool'!$A85,'IDF Distributions'!$A$1:$A$290,0),MATCH('Bulk Tool'!G$5,'IDF Distributions'!$A$1:$AB$1,0))*INDEX($N$5:$N$11,MATCH(G$6,$L$5:$L$11,0))*IF($E$2="Depth (mm)",(1),IF($E$2="Intensity (mm/hr)",12,0))</f>
        <v>1.8926931078788392</v>
      </c>
      <c r="H85" s="24">
        <f>INDEX('IDF Distributions'!$A$1:$AB$290,MATCH('Bulk Tool'!$A85,'IDF Distributions'!$A$1:$A$290,0),MATCH('Bulk Tool'!H$5,'IDF Distributions'!$A$1:$AB$1,0))*INDEX($N$5:$N$11,MATCH(H$6,$L$5:$L$11,0))*IF($E$2="Depth (mm)",(1),IF($E$2="Intensity (mm/hr)",12,0))</f>
        <v>2.1197033337587277</v>
      </c>
      <c r="I85" s="12" t="str">
        <f>IF(COUNTIF($H$7:H85,$H$7)&gt;1,"Do Not Copy","Copy")</f>
        <v>Copy</v>
      </c>
      <c r="L85"/>
      <c r="M85" s="2"/>
    </row>
    <row r="86" spans="1:13" x14ac:dyDescent="0.25">
      <c r="A86" s="128">
        <f t="shared" si="4"/>
        <v>0.27430555555555508</v>
      </c>
      <c r="B86" s="24">
        <f>INDEX('IDF Distributions'!$A$1:$AB$290,MATCH('Bulk Tool'!$A86,'IDF Distributions'!$A$1:$A$290,0),MATCH('Bulk Tool'!B$5,'IDF Distributions'!$A$1:$AB$1,0))*INDEX($N$5:$N$11,MATCH(B$6,$L$5:$L$11,0))*IF($E$2="Depth (mm)",(1),IF($E$2="Intensity (mm/hr)",12,0))</f>
        <v>0.73079173851864843</v>
      </c>
      <c r="C86" s="24">
        <f>INDEX('IDF Distributions'!$A$1:$AB$290,MATCH('Bulk Tool'!$A86,'IDF Distributions'!$A$1:$A$290,0),MATCH('Bulk Tool'!C$5,'IDF Distributions'!$A$1:$AB$1,0))*INDEX($N$5:$N$11,MATCH(C$6,$L$5:$L$11,0))*IF($E$2="Depth (mm)",(1),IF($E$2="Intensity (mm/hr)",12,0))</f>
        <v>0.97448485227989612</v>
      </c>
      <c r="D86" s="24">
        <f>INDEX('IDF Distributions'!$A$1:$AB$290,MATCH('Bulk Tool'!$A86,'IDF Distributions'!$A$1:$A$290,0),MATCH('Bulk Tool'!D$5,'IDF Distributions'!$A$1:$AB$1,0))*INDEX($N$5:$N$11,MATCH(D$6,$L$5:$L$11,0))*IF($E$2="Depth (mm)",(1),IF($E$2="Intensity (mm/hr)",12,0))</f>
        <v>1.1475117685979006</v>
      </c>
      <c r="E86" s="24">
        <f>INDEX('IDF Distributions'!$A$1:$AB$290,MATCH('Bulk Tool'!$A86,'IDF Distributions'!$A$1:$A$290,0),MATCH('Bulk Tool'!E$5,'IDF Distributions'!$A$1:$AB$1,0))*INDEX($N$5:$N$11,MATCH(E$6,$L$5:$L$11,0))*IF($E$2="Depth (mm)",(1),IF($E$2="Intensity (mm/hr)",12,0))</f>
        <v>1.3857180007189238</v>
      </c>
      <c r="F86" s="24">
        <f>INDEX('IDF Distributions'!$A$1:$AB$290,MATCH('Bulk Tool'!$A86,'IDF Distributions'!$A$1:$A$290,0),MATCH('Bulk Tool'!F$5,'IDF Distributions'!$A$1:$AB$1,0))*INDEX($N$5:$N$11,MATCH(F$6,$L$5:$L$11,0))*IF($E$2="Depth (mm)",(1),IF($E$2="Intensity (mm/hr)",12,0))</f>
        <v>1.5737285844147606</v>
      </c>
      <c r="G86" s="24">
        <f>INDEX('IDF Distributions'!$A$1:$AB$290,MATCH('Bulk Tool'!$A86,'IDF Distributions'!$A$1:$A$290,0),MATCH('Bulk Tool'!G$5,'IDF Distributions'!$A$1:$AB$1,0))*INDEX($N$5:$N$11,MATCH(G$6,$L$5:$L$11,0))*IF($E$2="Depth (mm)",(1),IF($E$2="Intensity (mm/hr)",12,0))</f>
        <v>1.7725221169024086</v>
      </c>
      <c r="H86" s="24">
        <f>INDEX('IDF Distributions'!$A$1:$AB$290,MATCH('Bulk Tool'!$A86,'IDF Distributions'!$A$1:$A$290,0),MATCH('Bulk Tool'!H$5,'IDF Distributions'!$A$1:$AB$1,0))*INDEX($N$5:$N$11,MATCH(H$6,$L$5:$L$11,0))*IF($E$2="Depth (mm)",(1),IF($E$2="Intensity (mm/hr)",12,0))</f>
        <v>1.9851189951073831</v>
      </c>
      <c r="I86" s="12" t="str">
        <f>IF(COUNTIF($H$7:H86,$H$7)&gt;1,"Do Not Copy","Copy")</f>
        <v>Copy</v>
      </c>
      <c r="L86"/>
      <c r="M86" s="2"/>
    </row>
    <row r="87" spans="1:13" x14ac:dyDescent="0.25">
      <c r="A87" s="128">
        <f t="shared" si="4"/>
        <v>0.27777777777777729</v>
      </c>
      <c r="B87" s="24">
        <f>INDEX('IDF Distributions'!$A$1:$AB$290,MATCH('Bulk Tool'!$A87,'IDF Distributions'!$A$1:$A$290,0),MATCH('Bulk Tool'!B$5,'IDF Distributions'!$A$1:$AB$1,0))*INDEX($N$5:$N$11,MATCH(B$6,$L$5:$L$11,0))*IF($E$2="Depth (mm)",(1),IF($E$2="Intensity (mm/hr)",12,0))</f>
        <v>0.73079173851864421</v>
      </c>
      <c r="C87" s="24">
        <f>INDEX('IDF Distributions'!$A$1:$AB$290,MATCH('Bulk Tool'!$A87,'IDF Distributions'!$A$1:$A$290,0),MATCH('Bulk Tool'!C$5,'IDF Distributions'!$A$1:$AB$1,0))*INDEX($N$5:$N$11,MATCH(C$6,$L$5:$L$11,0))*IF($E$2="Depth (mm)",(1),IF($E$2="Intensity (mm/hr)",12,0))</f>
        <v>0.97448485227989068</v>
      </c>
      <c r="D87" s="24">
        <f>INDEX('IDF Distributions'!$A$1:$AB$290,MATCH('Bulk Tool'!$A87,'IDF Distributions'!$A$1:$A$290,0),MATCH('Bulk Tool'!D$5,'IDF Distributions'!$A$1:$AB$1,0))*INDEX($N$5:$N$11,MATCH(D$6,$L$5:$L$11,0))*IF($E$2="Depth (mm)",(1),IF($E$2="Intensity (mm/hr)",12,0))</f>
        <v>1.1475117685978942</v>
      </c>
      <c r="E87" s="24">
        <f>INDEX('IDF Distributions'!$A$1:$AB$290,MATCH('Bulk Tool'!$A87,'IDF Distributions'!$A$1:$A$290,0),MATCH('Bulk Tool'!E$5,'IDF Distributions'!$A$1:$AB$1,0))*INDEX($N$5:$N$11,MATCH(E$6,$L$5:$L$11,0))*IF($E$2="Depth (mm)",(1),IF($E$2="Intensity (mm/hr)",12,0))</f>
        <v>1.385718000718916</v>
      </c>
      <c r="F87" s="24">
        <f>INDEX('IDF Distributions'!$A$1:$AB$290,MATCH('Bulk Tool'!$A87,'IDF Distributions'!$A$1:$A$290,0),MATCH('Bulk Tool'!F$5,'IDF Distributions'!$A$1:$AB$1,0))*INDEX($N$5:$N$11,MATCH(F$6,$L$5:$L$11,0))*IF($E$2="Depth (mm)",(1),IF($E$2="Intensity (mm/hr)",12,0))</f>
        <v>1.5737285844147517</v>
      </c>
      <c r="G87" s="24">
        <f>INDEX('IDF Distributions'!$A$1:$AB$290,MATCH('Bulk Tool'!$A87,'IDF Distributions'!$A$1:$A$290,0),MATCH('Bulk Tool'!G$5,'IDF Distributions'!$A$1:$AB$1,0))*INDEX($N$5:$N$11,MATCH(G$6,$L$5:$L$11,0))*IF($E$2="Depth (mm)",(1),IF($E$2="Intensity (mm/hr)",12,0))</f>
        <v>1.7725221169023984</v>
      </c>
      <c r="H87" s="24">
        <f>INDEX('IDF Distributions'!$A$1:$AB$290,MATCH('Bulk Tool'!$A87,'IDF Distributions'!$A$1:$A$290,0),MATCH('Bulk Tool'!H$5,'IDF Distributions'!$A$1:$AB$1,0))*INDEX($N$5:$N$11,MATCH(H$6,$L$5:$L$11,0))*IF($E$2="Depth (mm)",(1),IF($E$2="Intensity (mm/hr)",12,0))</f>
        <v>1.9851189951073722</v>
      </c>
      <c r="I87" s="12" t="str">
        <f>IF(COUNTIF($H$7:H87,$H$7)&gt;1,"Do Not Copy","Copy")</f>
        <v>Copy</v>
      </c>
      <c r="L87"/>
      <c r="M87" s="2"/>
    </row>
    <row r="88" spans="1:13" x14ac:dyDescent="0.25">
      <c r="A88" s="128">
        <f t="shared" si="4"/>
        <v>0.2812499999999995</v>
      </c>
      <c r="B88" s="24">
        <f>INDEX('IDF Distributions'!$A$1:$AB$290,MATCH('Bulk Tool'!$A88,'IDF Distributions'!$A$1:$A$290,0),MATCH('Bulk Tool'!B$5,'IDF Distributions'!$A$1:$AB$1,0))*INDEX($N$5:$N$11,MATCH(B$6,$L$5:$L$11,0))*IF($E$2="Depth (mm)",(1),IF($E$2="Intensity (mm/hr)",12,0))</f>
        <v>0.75060981956322381</v>
      </c>
      <c r="C88" s="24">
        <f>INDEX('IDF Distributions'!$A$1:$AB$290,MATCH('Bulk Tool'!$A88,'IDF Distributions'!$A$1:$A$290,0),MATCH('Bulk Tool'!C$5,'IDF Distributions'!$A$1:$AB$1,0))*INDEX($N$5:$N$11,MATCH(C$6,$L$5:$L$11,0))*IF($E$2="Depth (mm)",(1),IF($E$2="Intensity (mm/hr)",12,0))</f>
        <v>1.0009115601383365</v>
      </c>
      <c r="D88" s="24">
        <f>INDEX('IDF Distributions'!$A$1:$AB$290,MATCH('Bulk Tool'!$A88,'IDF Distributions'!$A$1:$A$290,0),MATCH('Bulk Tool'!D$5,'IDF Distributions'!$A$1:$AB$1,0))*INDEX($N$5:$N$11,MATCH(D$6,$L$5:$L$11,0))*IF($E$2="Depth (mm)",(1),IF($E$2="Intensity (mm/hr)",12,0))</f>
        <v>1.1786307318141178</v>
      </c>
      <c r="E88" s="24">
        <f>INDEX('IDF Distributions'!$A$1:$AB$290,MATCH('Bulk Tool'!$A88,'IDF Distributions'!$A$1:$A$290,0),MATCH('Bulk Tool'!E$5,'IDF Distributions'!$A$1:$AB$1,0))*INDEX($N$5:$N$11,MATCH(E$6,$L$5:$L$11,0))*IF($E$2="Depth (mm)",(1),IF($E$2="Intensity (mm/hr)",12,0))</f>
        <v>1.4232967939587626</v>
      </c>
      <c r="F88" s="24">
        <f>INDEX('IDF Distributions'!$A$1:$AB$290,MATCH('Bulk Tool'!$A88,'IDF Distributions'!$A$1:$A$290,0),MATCH('Bulk Tool'!F$5,'IDF Distributions'!$A$1:$AB$1,0))*INDEX($N$5:$N$11,MATCH(F$6,$L$5:$L$11,0))*IF($E$2="Depth (mm)",(1),IF($E$2="Intensity (mm/hr)",12,0))</f>
        <v>1.6164059697548261</v>
      </c>
      <c r="G88" s="24">
        <f>INDEX('IDF Distributions'!$A$1:$AB$290,MATCH('Bulk Tool'!$A88,'IDF Distributions'!$A$1:$A$290,0),MATCH('Bulk Tool'!G$5,'IDF Distributions'!$A$1:$AB$1,0))*INDEX($N$5:$N$11,MATCH(G$6,$L$5:$L$11,0))*IF($E$2="Depth (mm)",(1),IF($E$2="Intensity (mm/hr)",12,0))</f>
        <v>1.8205905132929867</v>
      </c>
      <c r="H88" s="24">
        <f>INDEX('IDF Distributions'!$A$1:$AB$290,MATCH('Bulk Tool'!$A88,'IDF Distributions'!$A$1:$A$290,0),MATCH('Bulk Tool'!H$5,'IDF Distributions'!$A$1:$AB$1,0))*INDEX($N$5:$N$11,MATCH(H$6,$L$5:$L$11,0))*IF($E$2="Depth (mm)",(1),IF($E$2="Intensity (mm/hr)",12,0))</f>
        <v>2.0389527305679276</v>
      </c>
      <c r="I88" s="12" t="str">
        <f>IF(COUNTIF($H$7:H88,$H$7)&gt;1,"Do Not Copy","Copy")</f>
        <v>Copy</v>
      </c>
      <c r="L88"/>
      <c r="M88" s="2"/>
    </row>
    <row r="89" spans="1:13" x14ac:dyDescent="0.25">
      <c r="A89" s="128">
        <f t="shared" si="4"/>
        <v>0.28472222222222171</v>
      </c>
      <c r="B89" s="24">
        <f>INDEX('IDF Distributions'!$A$1:$AB$290,MATCH('Bulk Tool'!$A89,'IDF Distributions'!$A$1:$A$290,0),MATCH('Bulk Tool'!B$5,'IDF Distributions'!$A$1:$AB$1,0))*INDEX($N$5:$N$11,MATCH(B$6,$L$5:$L$11,0))*IF($E$2="Depth (mm)",(1),IF($E$2="Intensity (mm/hr)",12,0))</f>
        <v>0.77785968099950509</v>
      </c>
      <c r="C89" s="24">
        <f>INDEX('IDF Distributions'!$A$1:$AB$290,MATCH('Bulk Tool'!$A89,'IDF Distributions'!$A$1:$A$290,0),MATCH('Bulk Tool'!C$5,'IDF Distributions'!$A$1:$AB$1,0))*INDEX($N$5:$N$11,MATCH(C$6,$L$5:$L$11,0))*IF($E$2="Depth (mm)",(1),IF($E$2="Intensity (mm/hr)",12,0))</f>
        <v>1.0372482834436789</v>
      </c>
      <c r="D89" s="24">
        <f>INDEX('IDF Distributions'!$A$1:$AB$290,MATCH('Bulk Tool'!$A89,'IDF Distributions'!$A$1:$A$290,0),MATCH('Bulk Tool'!D$5,'IDF Distributions'!$A$1:$AB$1,0))*INDEX($N$5:$N$11,MATCH(D$6,$L$5:$L$11,0))*IF($E$2="Depth (mm)",(1),IF($E$2="Intensity (mm/hr)",12,0))</f>
        <v>1.2214193062364012</v>
      </c>
      <c r="E89" s="24">
        <f>INDEX('IDF Distributions'!$A$1:$AB$290,MATCH('Bulk Tool'!$A89,'IDF Distributions'!$A$1:$A$290,0),MATCH('Bulk Tool'!E$5,'IDF Distributions'!$A$1:$AB$1,0))*INDEX($N$5:$N$11,MATCH(E$6,$L$5:$L$11,0))*IF($E$2="Depth (mm)",(1),IF($E$2="Intensity (mm/hr)",12,0))</f>
        <v>1.4749676346635223</v>
      </c>
      <c r="F89" s="24">
        <f>INDEX('IDF Distributions'!$A$1:$AB$290,MATCH('Bulk Tool'!$A89,'IDF Distributions'!$A$1:$A$290,0),MATCH('Bulk Tool'!F$5,'IDF Distributions'!$A$1:$AB$1,0))*INDEX($N$5:$N$11,MATCH(F$6,$L$5:$L$11,0))*IF($E$2="Depth (mm)",(1),IF($E$2="Intensity (mm/hr)",12,0))</f>
        <v>1.6750873745973947</v>
      </c>
      <c r="G89" s="24">
        <f>INDEX('IDF Distributions'!$A$1:$AB$290,MATCH('Bulk Tool'!$A89,'IDF Distributions'!$A$1:$A$290,0),MATCH('Bulk Tool'!G$5,'IDF Distributions'!$A$1:$AB$1,0))*INDEX($N$5:$N$11,MATCH(G$6,$L$5:$L$11,0))*IF($E$2="Depth (mm)",(1),IF($E$2="Intensity (mm/hr)",12,0))</f>
        <v>1.8866845583300083</v>
      </c>
      <c r="H89" s="24">
        <f>INDEX('IDF Distributions'!$A$1:$AB$290,MATCH('Bulk Tool'!$A89,'IDF Distributions'!$A$1:$A$290,0),MATCH('Bulk Tool'!H$5,'IDF Distributions'!$A$1:$AB$1,0))*INDEX($N$5:$N$11,MATCH(H$6,$L$5:$L$11,0))*IF($E$2="Depth (mm)",(1),IF($E$2="Intensity (mm/hr)",12,0))</f>
        <v>2.1129741168261496</v>
      </c>
      <c r="I89" s="12" t="str">
        <f>IF(COUNTIF($H$7:H89,$H$7)&gt;1,"Do Not Copy","Copy")</f>
        <v>Copy</v>
      </c>
      <c r="L89"/>
      <c r="M89" s="2"/>
    </row>
    <row r="90" spans="1:13" x14ac:dyDescent="0.25">
      <c r="A90" s="128">
        <f t="shared" si="4"/>
        <v>0.28819444444444392</v>
      </c>
      <c r="B90" s="24">
        <f>INDEX('IDF Distributions'!$A$1:$AB$290,MATCH('Bulk Tool'!$A90,'IDF Distributions'!$A$1:$A$290,0),MATCH('Bulk Tool'!B$5,'IDF Distributions'!$A$1:$AB$1,0))*INDEX($N$5:$N$11,MATCH(B$6,$L$5:$L$11,0))*IF($E$2="Depth (mm)",(1),IF($E$2="Intensity (mm/hr)",12,0))</f>
        <v>0.80758680256637039</v>
      </c>
      <c r="C90" s="24">
        <f>INDEX('IDF Distributions'!$A$1:$AB$290,MATCH('Bulk Tool'!$A90,'IDF Distributions'!$A$1:$A$290,0),MATCH('Bulk Tool'!C$5,'IDF Distributions'!$A$1:$AB$1,0))*INDEX($N$5:$N$11,MATCH(C$6,$L$5:$L$11,0))*IF($E$2="Depth (mm)",(1),IF($E$2="Intensity (mm/hr)",12,0))</f>
        <v>1.0768883452313422</v>
      </c>
      <c r="D90" s="24">
        <f>INDEX('IDF Distributions'!$A$1:$AB$290,MATCH('Bulk Tool'!$A90,'IDF Distributions'!$A$1:$A$290,0),MATCH('Bulk Tool'!D$5,'IDF Distributions'!$A$1:$AB$1,0))*INDEX($N$5:$N$11,MATCH(D$6,$L$5:$L$11,0))*IF($E$2="Depth (mm)",(1),IF($E$2="Intensity (mm/hr)",12,0))</f>
        <v>1.2680977510607305</v>
      </c>
      <c r="E90" s="24">
        <f>INDEX('IDF Distributions'!$A$1:$AB$290,MATCH('Bulk Tool'!$A90,'IDF Distributions'!$A$1:$A$290,0),MATCH('Bulk Tool'!E$5,'IDF Distributions'!$A$1:$AB$1,0))*INDEX($N$5:$N$11,MATCH(E$6,$L$5:$L$11,0))*IF($E$2="Depth (mm)",(1),IF($E$2="Intensity (mm/hr)",12,0))</f>
        <v>1.5313358245232844</v>
      </c>
      <c r="F90" s="24">
        <f>INDEX('IDF Distributions'!$A$1:$AB$290,MATCH('Bulk Tool'!$A90,'IDF Distributions'!$A$1:$A$290,0),MATCH('Bulk Tool'!F$5,'IDF Distributions'!$A$1:$AB$1,0))*INDEX($N$5:$N$11,MATCH(F$6,$L$5:$L$11,0))*IF($E$2="Depth (mm)",(1),IF($E$2="Intensity (mm/hr)",12,0))</f>
        <v>1.7391034526074973</v>
      </c>
      <c r="G90" s="24">
        <f>INDEX('IDF Distributions'!$A$1:$AB$290,MATCH('Bulk Tool'!$A90,'IDF Distributions'!$A$1:$A$290,0),MATCH('Bulk Tool'!G$5,'IDF Distributions'!$A$1:$AB$1,0))*INDEX($N$5:$N$11,MATCH(G$6,$L$5:$L$11,0))*IF($E$2="Depth (mm)",(1),IF($E$2="Intensity (mm/hr)",12,0))</f>
        <v>1.9587871529158809</v>
      </c>
      <c r="H90" s="24">
        <f>INDEX('IDF Distributions'!$A$1:$AB$290,MATCH('Bulk Tool'!$A90,'IDF Distributions'!$A$1:$A$290,0),MATCH('Bulk Tool'!H$5,'IDF Distributions'!$A$1:$AB$1,0))*INDEX($N$5:$N$11,MATCH(H$6,$L$5:$L$11,0))*IF($E$2="Depth (mm)",(1),IF($E$2="Intensity (mm/hr)",12,0))</f>
        <v>2.1937247200169718</v>
      </c>
      <c r="I90" s="12" t="str">
        <f>IF(COUNTIF($H$7:H90,$H$7)&gt;1,"Do Not Copy","Copy")</f>
        <v>Copy</v>
      </c>
      <c r="L90"/>
      <c r="M90" s="2"/>
    </row>
    <row r="91" spans="1:13" x14ac:dyDescent="0.25">
      <c r="A91" s="128">
        <f t="shared" si="4"/>
        <v>0.29166666666666613</v>
      </c>
      <c r="B91" s="24">
        <f>INDEX('IDF Distributions'!$A$1:$AB$290,MATCH('Bulk Tool'!$A91,'IDF Distributions'!$A$1:$A$290,0),MATCH('Bulk Tool'!B$5,'IDF Distributions'!$A$1:$AB$1,0))*INDEX($N$5:$N$11,MATCH(B$6,$L$5:$L$11,0))*IF($E$2="Depth (mm)",(1),IF($E$2="Intensity (mm/hr)",12,0))</f>
        <v>0.84226844439437021</v>
      </c>
      <c r="C91" s="24">
        <f>INDEX('IDF Distributions'!$A$1:$AB$290,MATCH('Bulk Tool'!$A91,'IDF Distributions'!$A$1:$A$290,0),MATCH('Bulk Tool'!C$5,'IDF Distributions'!$A$1:$AB$1,0))*INDEX($N$5:$N$11,MATCH(C$6,$L$5:$L$11,0))*IF($E$2="Depth (mm)",(1),IF($E$2="Intensity (mm/hr)",12,0))</f>
        <v>1.1231350839836034</v>
      </c>
      <c r="D91" s="24">
        <f>INDEX('IDF Distributions'!$A$1:$AB$290,MATCH('Bulk Tool'!$A91,'IDF Distributions'!$A$1:$A$290,0),MATCH('Bulk Tool'!D$5,'IDF Distributions'!$A$1:$AB$1,0))*INDEX($N$5:$N$11,MATCH(D$6,$L$5:$L$11,0))*IF($E$2="Depth (mm)",(1),IF($E$2="Intensity (mm/hr)",12,0))</f>
        <v>1.3225559366890991</v>
      </c>
      <c r="E91" s="24">
        <f>INDEX('IDF Distributions'!$A$1:$AB$290,MATCH('Bulk Tool'!$A91,'IDF Distributions'!$A$1:$A$290,0),MATCH('Bulk Tool'!E$5,'IDF Distributions'!$A$1:$AB$1,0))*INDEX($N$5:$N$11,MATCH(E$6,$L$5:$L$11,0))*IF($E$2="Depth (mm)",(1),IF($E$2="Intensity (mm/hr)",12,0))</f>
        <v>1.5970987126929885</v>
      </c>
      <c r="F91" s="24">
        <f>INDEX('IDF Distributions'!$A$1:$AB$290,MATCH('Bulk Tool'!$A91,'IDF Distributions'!$A$1:$A$290,0),MATCH('Bulk Tool'!F$5,'IDF Distributions'!$A$1:$AB$1,0))*INDEX($N$5:$N$11,MATCH(F$6,$L$5:$L$11,0))*IF($E$2="Depth (mm)",(1),IF($E$2="Intensity (mm/hr)",12,0))</f>
        <v>1.8137888769525963</v>
      </c>
      <c r="G91" s="24">
        <f>INDEX('IDF Distributions'!$A$1:$AB$290,MATCH('Bulk Tool'!$A91,'IDF Distributions'!$A$1:$A$290,0),MATCH('Bulk Tool'!G$5,'IDF Distributions'!$A$1:$AB$1,0))*INDEX($N$5:$N$11,MATCH(G$6,$L$5:$L$11,0))*IF($E$2="Depth (mm)",(1),IF($E$2="Intensity (mm/hr)",12,0))</f>
        <v>2.0429068465993758</v>
      </c>
      <c r="H91" s="24">
        <f>INDEX('IDF Distributions'!$A$1:$AB$290,MATCH('Bulk Tool'!$A91,'IDF Distributions'!$A$1:$A$290,0),MATCH('Bulk Tool'!H$5,'IDF Distributions'!$A$1:$AB$1,0))*INDEX($N$5:$N$11,MATCH(H$6,$L$5:$L$11,0))*IF($E$2="Depth (mm)",(1),IF($E$2="Intensity (mm/hr)",12,0))</f>
        <v>2.2879337570729046</v>
      </c>
      <c r="I91" s="12" t="str">
        <f>IF(COUNTIF($H$7:H91,$H$7)&gt;1,"Do Not Copy","Copy")</f>
        <v>Copy</v>
      </c>
      <c r="L91"/>
      <c r="M91" s="2"/>
    </row>
    <row r="92" spans="1:13" x14ac:dyDescent="0.25">
      <c r="A92" s="128">
        <f t="shared" si="4"/>
        <v>0.29513888888888834</v>
      </c>
      <c r="B92" s="24">
        <f>INDEX('IDF Distributions'!$A$1:$AB$290,MATCH('Bulk Tool'!$A92,'IDF Distributions'!$A$1:$A$290,0),MATCH('Bulk Tool'!B$5,'IDF Distributions'!$A$1:$AB$1,0))*INDEX($N$5:$N$11,MATCH(B$6,$L$5:$L$11,0))*IF($E$2="Depth (mm)",(1),IF($E$2="Intensity (mm/hr)",12,0))</f>
        <v>0.89181364700580645</v>
      </c>
      <c r="C92" s="24">
        <f>INDEX('IDF Distributions'!$A$1:$AB$290,MATCH('Bulk Tool'!$A92,'IDF Distributions'!$A$1:$A$290,0),MATCH('Bulk Tool'!C$5,'IDF Distributions'!$A$1:$AB$1,0))*INDEX($N$5:$N$11,MATCH(C$6,$L$5:$L$11,0))*IF($E$2="Depth (mm)",(1),IF($E$2="Intensity (mm/hr)",12,0))</f>
        <v>1.1892018536297015</v>
      </c>
      <c r="D92" s="24">
        <f>INDEX('IDF Distributions'!$A$1:$AB$290,MATCH('Bulk Tool'!$A92,'IDF Distributions'!$A$1:$A$290,0),MATCH('Bulk Tool'!D$5,'IDF Distributions'!$A$1:$AB$1,0))*INDEX($N$5:$N$11,MATCH(D$6,$L$5:$L$11,0))*IF($E$2="Depth (mm)",(1),IF($E$2="Intensity (mm/hr)",12,0))</f>
        <v>1.400353344729639</v>
      </c>
      <c r="E92" s="24">
        <f>INDEX('IDF Distributions'!$A$1:$AB$290,MATCH('Bulk Tool'!$A92,'IDF Distributions'!$A$1:$A$290,0),MATCH('Bulk Tool'!E$5,'IDF Distributions'!$A$1:$AB$1,0))*INDEX($N$5:$N$11,MATCH(E$6,$L$5:$L$11,0))*IF($E$2="Depth (mm)",(1),IF($E$2="Intensity (mm/hr)",12,0))</f>
        <v>1.6910456957925817</v>
      </c>
      <c r="F92" s="24">
        <f>INDEX('IDF Distributions'!$A$1:$AB$290,MATCH('Bulk Tool'!$A92,'IDF Distributions'!$A$1:$A$290,0),MATCH('Bulk Tool'!F$5,'IDF Distributions'!$A$1:$AB$1,0))*INDEX($N$5:$N$11,MATCH(F$6,$L$5:$L$11,0))*IF($E$2="Depth (mm)",(1),IF($E$2="Intensity (mm/hr)",12,0))</f>
        <v>1.9204823403027551</v>
      </c>
      <c r="G92" s="24">
        <f>INDEX('IDF Distributions'!$A$1:$AB$290,MATCH('Bulk Tool'!$A92,'IDF Distributions'!$A$1:$A$290,0),MATCH('Bulk Tool'!G$5,'IDF Distributions'!$A$1:$AB$1,0))*INDEX($N$5:$N$11,MATCH(G$6,$L$5:$L$11,0))*IF($E$2="Depth (mm)",(1),IF($E$2="Intensity (mm/hr)",12,0))</f>
        <v>2.1630778375758162</v>
      </c>
      <c r="H92" s="24">
        <f>INDEX('IDF Distributions'!$A$1:$AB$290,MATCH('Bulk Tool'!$A92,'IDF Distributions'!$A$1:$A$290,0),MATCH('Bulk Tool'!H$5,'IDF Distributions'!$A$1:$AB$1,0))*INDEX($N$5:$N$11,MATCH(H$6,$L$5:$L$11,0))*IF($E$2="Depth (mm)",(1),IF($E$2="Intensity (mm/hr)",12,0))</f>
        <v>2.4225180957242598</v>
      </c>
      <c r="I92" s="12" t="str">
        <f>IF(COUNTIF($H$7:H92,$H$7)&gt;1,"Do Not Copy","Copy")</f>
        <v>Copy</v>
      </c>
      <c r="L92"/>
      <c r="M92" s="2"/>
    </row>
    <row r="93" spans="1:13" x14ac:dyDescent="0.25">
      <c r="A93" s="128">
        <f t="shared" si="4"/>
        <v>0.29861111111111055</v>
      </c>
      <c r="B93" s="24">
        <f>INDEX('IDF Distributions'!$A$1:$AB$290,MATCH('Bulk Tool'!$A93,'IDF Distributions'!$A$1:$A$290,0),MATCH('Bulk Tool'!B$5,'IDF Distributions'!$A$1:$AB$1,0))*INDEX($N$5:$N$11,MATCH(B$6,$L$5:$L$11,0))*IF($E$2="Depth (mm)",(1),IF($E$2="Intensity (mm/hr)",12,0))</f>
        <v>0.95374515027009177</v>
      </c>
      <c r="C93" s="24">
        <f>INDEX('IDF Distributions'!$A$1:$AB$290,MATCH('Bulk Tool'!$A93,'IDF Distributions'!$A$1:$A$290,0),MATCH('Bulk Tool'!C$5,'IDF Distributions'!$A$1:$AB$1,0))*INDEX($N$5:$N$11,MATCH(C$6,$L$5:$L$11,0))*IF($E$2="Depth (mm)",(1),IF($E$2="Intensity (mm/hr)",12,0))</f>
        <v>1.2717853156873105</v>
      </c>
      <c r="D93" s="24">
        <f>INDEX('IDF Distributions'!$A$1:$AB$290,MATCH('Bulk Tool'!$A93,'IDF Distributions'!$A$1:$A$290,0),MATCH('Bulk Tool'!D$5,'IDF Distributions'!$A$1:$AB$1,0))*INDEX($N$5:$N$11,MATCH(D$6,$L$5:$L$11,0))*IF($E$2="Depth (mm)",(1),IF($E$2="Intensity (mm/hr)",12,0))</f>
        <v>1.4976001047802976</v>
      </c>
      <c r="E93" s="24">
        <f>INDEX('IDF Distributions'!$A$1:$AB$290,MATCH('Bulk Tool'!$A93,'IDF Distributions'!$A$1:$A$290,0),MATCH('Bulk Tool'!E$5,'IDF Distributions'!$A$1:$AB$1,0))*INDEX($N$5:$N$11,MATCH(E$6,$L$5:$L$11,0))*IF($E$2="Depth (mm)",(1),IF($E$2="Intensity (mm/hr)",12,0))</f>
        <v>1.8084794246670537</v>
      </c>
      <c r="F93" s="24">
        <f>INDEX('IDF Distributions'!$A$1:$AB$290,MATCH('Bulk Tool'!$A93,'IDF Distributions'!$A$1:$A$290,0),MATCH('Bulk Tool'!F$5,'IDF Distributions'!$A$1:$AB$1,0))*INDEX($N$5:$N$11,MATCH(F$6,$L$5:$L$11,0))*IF($E$2="Depth (mm)",(1),IF($E$2="Intensity (mm/hr)",12,0))</f>
        <v>2.0538491694904315</v>
      </c>
      <c r="G93" s="24">
        <f>INDEX('IDF Distributions'!$A$1:$AB$290,MATCH('Bulk Tool'!$A93,'IDF Distributions'!$A$1:$A$290,0),MATCH('Bulk Tool'!G$5,'IDF Distributions'!$A$1:$AB$1,0))*INDEX($N$5:$N$11,MATCH(G$6,$L$5:$L$11,0))*IF($E$2="Depth (mm)",(1),IF($E$2="Intensity (mm/hr)",12,0))</f>
        <v>2.3132915762963426</v>
      </c>
      <c r="H93" s="24">
        <f>INDEX('IDF Distributions'!$A$1:$AB$290,MATCH('Bulk Tool'!$A93,'IDF Distributions'!$A$1:$A$290,0),MATCH('Bulk Tool'!H$5,'IDF Distributions'!$A$1:$AB$1,0))*INDEX($N$5:$N$11,MATCH(H$6,$L$5:$L$11,0))*IF($E$2="Depth (mm)",(1),IF($E$2="Intensity (mm/hr)",12,0))</f>
        <v>2.5907485190384256</v>
      </c>
      <c r="I93" s="12" t="str">
        <f>IF(COUNTIF($H$7:H93,$H$7)&gt;1,"Do Not Copy","Copy")</f>
        <v>Copy</v>
      </c>
      <c r="L93"/>
      <c r="M93" s="2"/>
    </row>
    <row r="94" spans="1:13" x14ac:dyDescent="0.25">
      <c r="A94" s="128">
        <f t="shared" si="4"/>
        <v>0.30208333333333276</v>
      </c>
      <c r="B94" s="24">
        <f>INDEX('IDF Distributions'!$A$1:$AB$290,MATCH('Bulk Tool'!$A94,'IDF Distributions'!$A$1:$A$290,0),MATCH('Bulk Tool'!B$5,'IDF Distributions'!$A$1:$AB$1,0))*INDEX($N$5:$N$11,MATCH(B$6,$L$5:$L$11,0))*IF($E$2="Depth (mm)",(1),IF($E$2="Intensity (mm/hr)",12,0))</f>
        <v>1.0131993934038221</v>
      </c>
      <c r="C94" s="24">
        <f>INDEX('IDF Distributions'!$A$1:$AB$290,MATCH('Bulk Tool'!$A94,'IDF Distributions'!$A$1:$A$290,0),MATCH('Bulk Tool'!C$5,'IDF Distributions'!$A$1:$AB$1,0))*INDEX($N$5:$N$11,MATCH(C$6,$L$5:$L$11,0))*IF($E$2="Depth (mm)",(1),IF($E$2="Intensity (mm/hr)",12,0))</f>
        <v>1.3510654392626371</v>
      </c>
      <c r="D94" s="24">
        <f>INDEX('IDF Distributions'!$A$1:$AB$290,MATCH('Bulk Tool'!$A94,'IDF Distributions'!$A$1:$A$290,0),MATCH('Bulk Tool'!D$5,'IDF Distributions'!$A$1:$AB$1,0))*INDEX($N$5:$N$11,MATCH(D$6,$L$5:$L$11,0))*IF($E$2="Depth (mm)",(1),IF($E$2="Intensity (mm/hr)",12,0))</f>
        <v>1.5909569944289557</v>
      </c>
      <c r="E94" s="24">
        <f>INDEX('IDF Distributions'!$A$1:$AB$290,MATCH('Bulk Tool'!$A94,'IDF Distributions'!$A$1:$A$290,0),MATCH('Bulk Tool'!E$5,'IDF Distributions'!$A$1:$AB$1,0))*INDEX($N$5:$N$11,MATCH(E$6,$L$5:$L$11,0))*IF($E$2="Depth (mm)",(1),IF($E$2="Intensity (mm/hr)",12,0))</f>
        <v>1.9212158043865779</v>
      </c>
      <c r="F94" s="24">
        <f>INDEX('IDF Distributions'!$A$1:$AB$290,MATCH('Bulk Tool'!$A94,'IDF Distributions'!$A$1:$A$290,0),MATCH('Bulk Tool'!F$5,'IDF Distributions'!$A$1:$AB$1,0))*INDEX($N$5:$N$11,MATCH(F$6,$L$5:$L$11,0))*IF($E$2="Depth (mm)",(1),IF($E$2="Intensity (mm/hr)",12,0))</f>
        <v>2.1818813255106368</v>
      </c>
      <c r="G94" s="24">
        <f>INDEX('IDF Distributions'!$A$1:$AB$290,MATCH('Bulk Tool'!$A94,'IDF Distributions'!$A$1:$A$290,0),MATCH('Bulk Tool'!G$5,'IDF Distributions'!$A$1:$AB$1,0))*INDEX($N$5:$N$11,MATCH(G$6,$L$5:$L$11,0))*IF($E$2="Depth (mm)",(1),IF($E$2="Intensity (mm/hr)",12,0))</f>
        <v>2.4574967654680879</v>
      </c>
      <c r="H94" s="24">
        <f>INDEX('IDF Distributions'!$A$1:$AB$290,MATCH('Bulk Tool'!$A94,'IDF Distributions'!$A$1:$A$290,0),MATCH('Bulk Tool'!H$5,'IDF Distributions'!$A$1:$AB$1,0))*INDEX($N$5:$N$11,MATCH(H$6,$L$5:$L$11,0))*IF($E$2="Depth (mm)",(1),IF($E$2="Intensity (mm/hr)",12,0))</f>
        <v>2.7522497254200702</v>
      </c>
      <c r="I94" s="12" t="str">
        <f>IF(COUNTIF($H$7:H94,$H$7)&gt;1,"Do Not Copy","Copy")</f>
        <v>Copy</v>
      </c>
      <c r="L94"/>
      <c r="M94" s="2"/>
    </row>
    <row r="95" spans="1:13" x14ac:dyDescent="0.25">
      <c r="A95" s="128">
        <f t="shared" si="4"/>
        <v>0.30555555555555497</v>
      </c>
      <c r="B95" s="24">
        <f>INDEX('IDF Distributions'!$A$1:$AB$290,MATCH('Bulk Tool'!$A95,'IDF Distributions'!$A$1:$A$290,0),MATCH('Bulk Tool'!B$5,'IDF Distributions'!$A$1:$AB$1,0))*INDEX($N$5:$N$11,MATCH(B$6,$L$5:$L$11,0))*IF($E$2="Depth (mm)",(1),IF($E$2="Intensity (mm/hr)",12,0))</f>
        <v>1.0800854169292584</v>
      </c>
      <c r="C95" s="24">
        <f>INDEX('IDF Distributions'!$A$1:$AB$290,MATCH('Bulk Tool'!$A95,'IDF Distributions'!$A$1:$A$290,0),MATCH('Bulk Tool'!C$5,'IDF Distributions'!$A$1:$AB$1,0))*INDEX($N$5:$N$11,MATCH(C$6,$L$5:$L$11,0))*IF($E$2="Depth (mm)",(1),IF($E$2="Intensity (mm/hr)",12,0))</f>
        <v>1.4402555782848658</v>
      </c>
      <c r="D95" s="24">
        <f>INDEX('IDF Distributions'!$A$1:$AB$290,MATCH('Bulk Tool'!$A95,'IDF Distributions'!$A$1:$A$290,0),MATCH('Bulk Tool'!D$5,'IDF Distributions'!$A$1:$AB$1,0))*INDEX($N$5:$N$11,MATCH(D$6,$L$5:$L$11,0))*IF($E$2="Depth (mm)",(1),IF($E$2="Intensity (mm/hr)",12,0))</f>
        <v>1.6959834952836801</v>
      </c>
      <c r="E95" s="24">
        <f>INDEX('IDF Distributions'!$A$1:$AB$290,MATCH('Bulk Tool'!$A95,'IDF Distributions'!$A$1:$A$290,0),MATCH('Bulk Tool'!E$5,'IDF Distributions'!$A$1:$AB$1,0))*INDEX($N$5:$N$11,MATCH(E$6,$L$5:$L$11,0))*IF($E$2="Depth (mm)",(1),IF($E$2="Intensity (mm/hr)",12,0))</f>
        <v>2.0480442315710232</v>
      </c>
      <c r="F95" s="24">
        <f>INDEX('IDF Distributions'!$A$1:$AB$290,MATCH('Bulk Tool'!$A95,'IDF Distributions'!$A$1:$A$290,0),MATCH('Bulk Tool'!F$5,'IDF Distributions'!$A$1:$AB$1,0))*INDEX($N$5:$N$11,MATCH(F$6,$L$5:$L$11,0))*IF($E$2="Depth (mm)",(1),IF($E$2="Intensity (mm/hr)",12,0))</f>
        <v>2.325917501033345</v>
      </c>
      <c r="G95" s="24">
        <f>INDEX('IDF Distributions'!$A$1:$AB$290,MATCH('Bulk Tool'!$A95,'IDF Distributions'!$A$1:$A$290,0),MATCH('Bulk Tool'!G$5,'IDF Distributions'!$A$1:$AB$1,0))*INDEX($N$5:$N$11,MATCH(G$6,$L$5:$L$11,0))*IF($E$2="Depth (mm)",(1),IF($E$2="Intensity (mm/hr)",12,0))</f>
        <v>2.6197276032862762</v>
      </c>
      <c r="H95" s="24">
        <f>INDEX('IDF Distributions'!$A$1:$AB$290,MATCH('Bulk Tool'!$A95,'IDF Distributions'!$A$1:$A$290,0),MATCH('Bulk Tool'!H$5,'IDF Distributions'!$A$1:$AB$1,0))*INDEX($N$5:$N$11,MATCH(H$6,$L$5:$L$11,0))*IF($E$2="Depth (mm)",(1),IF($E$2="Intensity (mm/hr)",12,0))</f>
        <v>2.9339385825993922</v>
      </c>
      <c r="I95" s="12" t="str">
        <f>IF(COUNTIF($H$7:H95,$H$7)&gt;1,"Do Not Copy","Copy")</f>
        <v>Copy</v>
      </c>
      <c r="L95"/>
      <c r="M95" s="2"/>
    </row>
    <row r="96" spans="1:13" x14ac:dyDescent="0.25">
      <c r="A96" s="128">
        <f t="shared" si="4"/>
        <v>0.30902777777777718</v>
      </c>
      <c r="B96" s="24">
        <f>INDEX('IDF Distributions'!$A$1:$AB$290,MATCH('Bulk Tool'!$A96,'IDF Distributions'!$A$1:$A$290,0),MATCH('Bulk Tool'!B$5,'IDF Distributions'!$A$1:$AB$1,0))*INDEX($N$5:$N$11,MATCH(B$6,$L$5:$L$11,0))*IF($E$2="Depth (mm)",(1),IF($E$2="Intensity (mm/hr)",12,0))</f>
        <v>1.1544032208464006</v>
      </c>
      <c r="C96" s="24">
        <f>INDEX('IDF Distributions'!$A$1:$AB$290,MATCH('Bulk Tool'!$A96,'IDF Distributions'!$A$1:$A$290,0),MATCH('Bulk Tool'!C$5,'IDF Distributions'!$A$1:$AB$1,0))*INDEX($N$5:$N$11,MATCH(C$6,$L$5:$L$11,0))*IF($E$2="Depth (mm)",(1),IF($E$2="Intensity (mm/hr)",12,0))</f>
        <v>1.5393557327539968</v>
      </c>
      <c r="D96" s="24">
        <f>INDEX('IDF Distributions'!$A$1:$AB$290,MATCH('Bulk Tool'!$A96,'IDF Distributions'!$A$1:$A$290,0),MATCH('Bulk Tool'!D$5,'IDF Distributions'!$A$1:$AB$1,0))*INDEX($N$5:$N$11,MATCH(D$6,$L$5:$L$11,0))*IF($E$2="Depth (mm)",(1),IF($E$2="Intensity (mm/hr)",12,0))</f>
        <v>1.8126796073444704</v>
      </c>
      <c r="E96" s="24">
        <f>INDEX('IDF Distributions'!$A$1:$AB$290,MATCH('Bulk Tool'!$A96,'IDF Distributions'!$A$1:$A$290,0),MATCH('Bulk Tool'!E$5,'IDF Distributions'!$A$1:$AB$1,0))*INDEX($N$5:$N$11,MATCH(E$6,$L$5:$L$11,0))*IF($E$2="Depth (mm)",(1),IF($E$2="Intensity (mm/hr)",12,0))</f>
        <v>2.1889647062203892</v>
      </c>
      <c r="F96" s="24">
        <f>INDEX('IDF Distributions'!$A$1:$AB$290,MATCH('Bulk Tool'!$A96,'IDF Distributions'!$A$1:$A$290,0),MATCH('Bulk Tool'!F$5,'IDF Distributions'!$A$1:$AB$1,0))*INDEX($N$5:$N$11,MATCH(F$6,$L$5:$L$11,0))*IF($E$2="Depth (mm)",(1),IF($E$2="Intensity (mm/hr)",12,0))</f>
        <v>2.4859576960585565</v>
      </c>
      <c r="G96" s="24">
        <f>INDEX('IDF Distributions'!$A$1:$AB$290,MATCH('Bulk Tool'!$A96,'IDF Distributions'!$A$1:$A$290,0),MATCH('Bulk Tool'!G$5,'IDF Distributions'!$A$1:$AB$1,0))*INDEX($N$5:$N$11,MATCH(G$6,$L$5:$L$11,0))*IF($E$2="Depth (mm)",(1),IF($E$2="Intensity (mm/hr)",12,0))</f>
        <v>2.7999840897509074</v>
      </c>
      <c r="H96" s="24">
        <f>INDEX('IDF Distributions'!$A$1:$AB$290,MATCH('Bulk Tool'!$A96,'IDF Distributions'!$A$1:$A$290,0),MATCH('Bulk Tool'!H$5,'IDF Distributions'!$A$1:$AB$1,0))*INDEX($N$5:$N$11,MATCH(H$6,$L$5:$L$11,0))*IF($E$2="Depth (mm)",(1),IF($E$2="Intensity (mm/hr)",12,0))</f>
        <v>3.1358150905763909</v>
      </c>
      <c r="I96" s="12" t="str">
        <f>IF(COUNTIF($H$7:H96,$H$7)&gt;1,"Do Not Copy","Copy")</f>
        <v>Copy</v>
      </c>
      <c r="L96"/>
      <c r="M96" s="2"/>
    </row>
    <row r="97" spans="1:13" x14ac:dyDescent="0.25">
      <c r="A97" s="128">
        <f t="shared" si="4"/>
        <v>0.31249999999999939</v>
      </c>
      <c r="B97" s="24">
        <f>INDEX('IDF Distributions'!$A$1:$AB$290,MATCH('Bulk Tool'!$A97,'IDF Distributions'!$A$1:$A$290,0),MATCH('Bulk Tool'!B$5,'IDF Distributions'!$A$1:$AB$1,0))*INDEX($N$5:$N$11,MATCH(B$6,$L$5:$L$11,0))*IF($E$2="Depth (mm)",(1),IF($E$2="Intensity (mm/hr)",12,0))</f>
        <v>1.5012196391264392</v>
      </c>
      <c r="C97" s="24">
        <f>INDEX('IDF Distributions'!$A$1:$AB$290,MATCH('Bulk Tool'!$A97,'IDF Distributions'!$A$1:$A$290,0),MATCH('Bulk Tool'!C$5,'IDF Distributions'!$A$1:$AB$1,0))*INDEX($N$5:$N$11,MATCH(C$6,$L$5:$L$11,0))*IF($E$2="Depth (mm)",(1),IF($E$2="Intensity (mm/hr)",12,0))</f>
        <v>2.0018231202766623</v>
      </c>
      <c r="D97" s="24">
        <f>INDEX('IDF Distributions'!$A$1:$AB$290,MATCH('Bulk Tool'!$A97,'IDF Distributions'!$A$1:$A$290,0),MATCH('Bulk Tool'!D$5,'IDF Distributions'!$A$1:$AB$1,0))*INDEX($N$5:$N$11,MATCH(D$6,$L$5:$L$11,0))*IF($E$2="Depth (mm)",(1),IF($E$2="Intensity (mm/hr)",12,0))</f>
        <v>2.3572614636282232</v>
      </c>
      <c r="E97" s="24">
        <f>INDEX('IDF Distributions'!$A$1:$AB$290,MATCH('Bulk Tool'!$A97,'IDF Distributions'!$A$1:$A$290,0),MATCH('Bulk Tool'!E$5,'IDF Distributions'!$A$1:$AB$1,0))*INDEX($N$5:$N$11,MATCH(E$6,$L$5:$L$11,0))*IF($E$2="Depth (mm)",(1),IF($E$2="Intensity (mm/hr)",12,0))</f>
        <v>2.8465935879175097</v>
      </c>
      <c r="F97" s="24">
        <f>INDEX('IDF Distributions'!$A$1:$AB$290,MATCH('Bulk Tool'!$A97,'IDF Distributions'!$A$1:$A$290,0),MATCH('Bulk Tool'!F$5,'IDF Distributions'!$A$1:$AB$1,0))*INDEX($N$5:$N$11,MATCH(F$6,$L$5:$L$11,0))*IF($E$2="Depth (mm)",(1),IF($E$2="Intensity (mm/hr)",12,0))</f>
        <v>3.232811939509634</v>
      </c>
      <c r="G97" s="24">
        <f>INDEX('IDF Distributions'!$A$1:$AB$290,MATCH('Bulk Tool'!$A97,'IDF Distributions'!$A$1:$A$290,0),MATCH('Bulk Tool'!G$5,'IDF Distributions'!$A$1:$AB$1,0))*INDEX($N$5:$N$11,MATCH(G$6,$L$5:$L$11,0))*IF($E$2="Depth (mm)",(1),IF($E$2="Intensity (mm/hr)",12,0))</f>
        <v>3.6411810265859534</v>
      </c>
      <c r="H97" s="24">
        <f>INDEX('IDF Distributions'!$A$1:$AB$290,MATCH('Bulk Tool'!$A97,'IDF Distributions'!$A$1:$A$290,0),MATCH('Bulk Tool'!H$5,'IDF Distributions'!$A$1:$AB$1,0))*INDEX($N$5:$N$11,MATCH(H$6,$L$5:$L$11,0))*IF($E$2="Depth (mm)",(1),IF($E$2="Intensity (mm/hr)",12,0))</f>
        <v>4.077905461135833</v>
      </c>
      <c r="I97" s="12" t="str">
        <f>IF(COUNTIF($H$7:H97,$H$7)&gt;1,"Do Not Copy","Copy")</f>
        <v>Copy</v>
      </c>
      <c r="L97"/>
      <c r="M97" s="2"/>
    </row>
    <row r="98" spans="1:13" x14ac:dyDescent="0.25">
      <c r="A98" s="128">
        <f t="shared" si="4"/>
        <v>0.3159722222222216</v>
      </c>
      <c r="B98" s="24">
        <f>INDEX('IDF Distributions'!$A$1:$AB$290,MATCH('Bulk Tool'!$A98,'IDF Distributions'!$A$1:$A$290,0),MATCH('Bulk Tool'!B$5,'IDF Distributions'!$A$1:$AB$1,0))*INDEX($N$5:$N$11,MATCH(B$6,$L$5:$L$11,0))*IF($E$2="Depth (mm)",(1),IF($E$2="Intensity (mm/hr)",12,0))</f>
        <v>2.650668339711697</v>
      </c>
      <c r="C98" s="24">
        <f>INDEX('IDF Distributions'!$A$1:$AB$290,MATCH('Bulk Tool'!$A98,'IDF Distributions'!$A$1:$A$290,0),MATCH('Bulk Tool'!C$5,'IDF Distributions'!$A$1:$AB$1,0))*INDEX($N$5:$N$11,MATCH(C$6,$L$5:$L$11,0))*IF($E$2="Depth (mm)",(1),IF($E$2="Intensity (mm/hr)",12,0))</f>
        <v>3.5345721760660505</v>
      </c>
      <c r="D98" s="24">
        <f>INDEX('IDF Distributions'!$A$1:$AB$290,MATCH('Bulk Tool'!$A98,'IDF Distributions'!$A$1:$A$290,0),MATCH('Bulk Tool'!D$5,'IDF Distributions'!$A$1:$AB$1,0))*INDEX($N$5:$N$11,MATCH(D$6,$L$5:$L$11,0))*IF($E$2="Depth (mm)",(1),IF($E$2="Intensity (mm/hr)",12,0))</f>
        <v>4.1621613301686411</v>
      </c>
      <c r="E98" s="24">
        <f>INDEX('IDF Distributions'!$A$1:$AB$290,MATCH('Bulk Tool'!$A98,'IDF Distributions'!$A$1:$A$290,0),MATCH('Bulk Tool'!E$5,'IDF Distributions'!$A$1:$AB$1,0))*INDEX($N$5:$N$11,MATCH(E$6,$L$5:$L$11,0))*IF($E$2="Depth (mm)",(1),IF($E$2="Intensity (mm/hr)",12,0))</f>
        <v>5.0261635958279411</v>
      </c>
      <c r="F98" s="24">
        <f>INDEX('IDF Distributions'!$A$1:$AB$290,MATCH('Bulk Tool'!$A98,'IDF Distributions'!$A$1:$A$290,0),MATCH('Bulk Tool'!F$5,'IDF Distributions'!$A$1:$AB$1,0))*INDEX($N$5:$N$11,MATCH(F$6,$L$5:$L$11,0))*IF($E$2="Depth (mm)",(1),IF($E$2="Intensity (mm/hr)",12,0))</f>
        <v>5.7081002892331769</v>
      </c>
      <c r="G98" s="24">
        <f>INDEX('IDF Distributions'!$A$1:$AB$290,MATCH('Bulk Tool'!$A98,'IDF Distributions'!$A$1:$A$290,0),MATCH('Bulk Tool'!G$5,'IDF Distributions'!$A$1:$AB$1,0))*INDEX($N$5:$N$11,MATCH(G$6,$L$5:$L$11,0))*IF($E$2="Depth (mm)",(1),IF($E$2="Intensity (mm/hr)",12,0))</f>
        <v>6.4291480172392195</v>
      </c>
      <c r="H98" s="24">
        <f>INDEX('IDF Distributions'!$A$1:$AB$290,MATCH('Bulk Tool'!$A98,'IDF Distributions'!$A$1:$A$290,0),MATCH('Bulk Tool'!H$5,'IDF Distributions'!$A$1:$AB$1,0))*INDEX($N$5:$N$11,MATCH(H$6,$L$5:$L$11,0))*IF($E$2="Depth (mm)",(1),IF($E$2="Intensity (mm/hr)",12,0))</f>
        <v>7.2002621178470907</v>
      </c>
      <c r="I98" s="12" t="str">
        <f>IF(COUNTIF($H$7:H98,$H$7)&gt;1,"Do Not Copy","Copy")</f>
        <v>Copy</v>
      </c>
      <c r="L98"/>
      <c r="M98" s="2"/>
    </row>
    <row r="99" spans="1:13" x14ac:dyDescent="0.25">
      <c r="A99" s="128">
        <f t="shared" si="4"/>
        <v>0.31944444444444381</v>
      </c>
      <c r="B99" s="24">
        <f>INDEX('IDF Distributions'!$A$1:$AB$290,MATCH('Bulk Tool'!$A99,'IDF Distributions'!$A$1:$A$290,0),MATCH('Bulk Tool'!B$5,'IDF Distributions'!$A$1:$AB$1,0))*INDEX($N$5:$N$11,MATCH(B$6,$L$5:$L$11,0))*IF($E$2="Depth (mm)",(1),IF($E$2="Intensity (mm/hr)",12,0))</f>
        <v>2.8860080521160141</v>
      </c>
      <c r="C99" s="24">
        <f>INDEX('IDF Distributions'!$A$1:$AB$290,MATCH('Bulk Tool'!$A99,'IDF Distributions'!$A$1:$A$290,0),MATCH('Bulk Tool'!C$5,'IDF Distributions'!$A$1:$AB$1,0))*INDEX($N$5:$N$11,MATCH(C$6,$L$5:$L$11,0))*IF($E$2="Depth (mm)",(1),IF($E$2="Intensity (mm/hr)",12,0))</f>
        <v>3.8483893318850084</v>
      </c>
      <c r="D99" s="24">
        <f>INDEX('IDF Distributions'!$A$1:$AB$290,MATCH('Bulk Tool'!$A99,'IDF Distributions'!$A$1:$A$290,0),MATCH('Bulk Tool'!D$5,'IDF Distributions'!$A$1:$AB$1,0))*INDEX($N$5:$N$11,MATCH(D$6,$L$5:$L$11,0))*IF($E$2="Depth (mm)",(1),IF($E$2="Intensity (mm/hr)",12,0))</f>
        <v>4.5316990183611949</v>
      </c>
      <c r="E99" s="24">
        <f>INDEX('IDF Distributions'!$A$1:$AB$290,MATCH('Bulk Tool'!$A99,'IDF Distributions'!$A$1:$A$290,0),MATCH('Bulk Tool'!E$5,'IDF Distributions'!$A$1:$AB$1,0))*INDEX($N$5:$N$11,MATCH(E$6,$L$5:$L$11,0))*IF($E$2="Depth (mm)",(1),IF($E$2="Intensity (mm/hr)",12,0))</f>
        <v>5.472411765550997</v>
      </c>
      <c r="F99" s="24">
        <f>INDEX('IDF Distributions'!$A$1:$AB$290,MATCH('Bulk Tool'!$A99,'IDF Distributions'!$A$1:$A$290,0),MATCH('Bulk Tool'!F$5,'IDF Distributions'!$A$1:$AB$1,0))*INDEX($N$5:$N$11,MATCH(F$6,$L$5:$L$11,0))*IF($E$2="Depth (mm)",(1),IF($E$2="Intensity (mm/hr)",12,0))</f>
        <v>6.2148942401464193</v>
      </c>
      <c r="G99" s="24">
        <f>INDEX('IDF Distributions'!$A$1:$AB$290,MATCH('Bulk Tool'!$A99,'IDF Distributions'!$A$1:$A$290,0),MATCH('Bulk Tool'!G$5,'IDF Distributions'!$A$1:$AB$1,0))*INDEX($N$5:$N$11,MATCH(G$6,$L$5:$L$11,0))*IF($E$2="Depth (mm)",(1),IF($E$2="Intensity (mm/hr)",12,0))</f>
        <v>6.9999602243772987</v>
      </c>
      <c r="H99" s="24">
        <f>INDEX('IDF Distributions'!$A$1:$AB$290,MATCH('Bulk Tool'!$A99,'IDF Distributions'!$A$1:$A$290,0),MATCH('Bulk Tool'!H$5,'IDF Distributions'!$A$1:$AB$1,0))*INDEX($N$5:$N$11,MATCH(H$6,$L$5:$L$11,0))*IF($E$2="Depth (mm)",(1),IF($E$2="Intensity (mm/hr)",12,0))</f>
        <v>7.8395377264410122</v>
      </c>
      <c r="I99" s="12" t="str">
        <f>IF(COUNTIF($H$7:H99,$H$7)&gt;1,"Do Not Copy","Copy")</f>
        <v>Copy</v>
      </c>
      <c r="L99"/>
      <c r="M99" s="2"/>
    </row>
    <row r="100" spans="1:13" x14ac:dyDescent="0.25">
      <c r="A100" s="128">
        <f t="shared" si="4"/>
        <v>0.32291666666666602</v>
      </c>
      <c r="B100" s="24">
        <f>INDEX('IDF Distributions'!$A$1:$AB$290,MATCH('Bulk Tool'!$A100,'IDF Distributions'!$A$1:$A$290,0),MATCH('Bulk Tool'!B$5,'IDF Distributions'!$A$1:$AB$1,0))*INDEX($N$5:$N$11,MATCH(B$6,$L$5:$L$11,0))*IF($E$2="Depth (mm)",(1),IF($E$2="Intensity (mm/hr)",12,0))</f>
        <v>2.9652803762943076</v>
      </c>
      <c r="C100" s="24">
        <f>INDEX('IDF Distributions'!$A$1:$AB$290,MATCH('Bulk Tool'!$A100,'IDF Distributions'!$A$1:$A$290,0),MATCH('Bulk Tool'!C$5,'IDF Distributions'!$A$1:$AB$1,0))*INDEX($N$5:$N$11,MATCH(C$6,$L$5:$L$11,0))*IF($E$2="Depth (mm)",(1),IF($E$2="Intensity (mm/hr)",12,0))</f>
        <v>3.9540961633187588</v>
      </c>
      <c r="D100" s="24">
        <f>INDEX('IDF Distributions'!$A$1:$AB$290,MATCH('Bulk Tool'!$A100,'IDF Distributions'!$A$1:$A$290,0),MATCH('Bulk Tool'!D$5,'IDF Distributions'!$A$1:$AB$1,0))*INDEX($N$5:$N$11,MATCH(D$6,$L$5:$L$11,0))*IF($E$2="Depth (mm)",(1),IF($E$2="Intensity (mm/hr)",12,0))</f>
        <v>4.6561748712260513</v>
      </c>
      <c r="E100" s="24">
        <f>INDEX('IDF Distributions'!$A$1:$AB$290,MATCH('Bulk Tool'!$A100,'IDF Distributions'!$A$1:$A$290,0),MATCH('Bulk Tool'!E$5,'IDF Distributions'!$A$1:$AB$1,0))*INDEX($N$5:$N$11,MATCH(E$6,$L$5:$L$11,0))*IF($E$2="Depth (mm)",(1),IF($E$2="Intensity (mm/hr)",12,0))</f>
        <v>5.6227269385103362</v>
      </c>
      <c r="F100" s="24">
        <f>INDEX('IDF Distributions'!$A$1:$AB$290,MATCH('Bulk Tool'!$A100,'IDF Distributions'!$A$1:$A$290,0),MATCH('Bulk Tool'!F$5,'IDF Distributions'!$A$1:$AB$1,0))*INDEX($N$5:$N$11,MATCH(F$6,$L$5:$L$11,0))*IF($E$2="Depth (mm)",(1),IF($E$2="Intensity (mm/hr)",12,0))</f>
        <v>6.3856037815066626</v>
      </c>
      <c r="G100" s="24">
        <f>INDEX('IDF Distributions'!$A$1:$AB$290,MATCH('Bulk Tool'!$A100,'IDF Distributions'!$A$1:$A$290,0),MATCH('Bulk Tool'!G$5,'IDF Distributions'!$A$1:$AB$1,0))*INDEX($N$5:$N$11,MATCH(G$6,$L$5:$L$11,0))*IF($E$2="Depth (mm)",(1),IF($E$2="Intensity (mm/hr)",12,0))</f>
        <v>7.1922338099395908</v>
      </c>
      <c r="H100" s="24">
        <f>INDEX('IDF Distributions'!$A$1:$AB$290,MATCH('Bulk Tool'!$A100,'IDF Distributions'!$A$1:$A$290,0),MATCH('Bulk Tool'!H$5,'IDF Distributions'!$A$1:$AB$1,0))*INDEX($N$5:$N$11,MATCH(H$6,$L$5:$L$11,0))*IF($E$2="Depth (mm)",(1),IF($E$2="Intensity (mm/hr)",12,0))</f>
        <v>8.0548726682831653</v>
      </c>
      <c r="I100" s="12" t="str">
        <f>IF(COUNTIF($H$7:H100,$H$7)&gt;1,"Do Not Copy","Copy")</f>
        <v>Copy</v>
      </c>
      <c r="L100"/>
      <c r="M100" s="2"/>
    </row>
    <row r="101" spans="1:13" x14ac:dyDescent="0.25">
      <c r="A101" s="128">
        <f t="shared" si="4"/>
        <v>0.32638888888888823</v>
      </c>
      <c r="B101" s="24">
        <f>INDEX('IDF Distributions'!$A$1:$AB$290,MATCH('Bulk Tool'!$A101,'IDF Distributions'!$A$1:$A$290,0),MATCH('Bulk Tool'!B$5,'IDF Distributions'!$A$1:$AB$1,0))*INDEX($N$5:$N$11,MATCH(B$6,$L$5:$L$11,0))*IF($E$2="Depth (mm)",(1),IF($E$2="Intensity (mm/hr)",12,0))</f>
        <v>2.962803116163736</v>
      </c>
      <c r="C101" s="24">
        <f>INDEX('IDF Distributions'!$A$1:$AB$290,MATCH('Bulk Tool'!$A101,'IDF Distributions'!$A$1:$A$290,0),MATCH('Bulk Tool'!C$5,'IDF Distributions'!$A$1:$AB$1,0))*INDEX($N$5:$N$11,MATCH(C$6,$L$5:$L$11,0))*IF($E$2="Depth (mm)",(1),IF($E$2="Intensity (mm/hr)",12,0))</f>
        <v>3.9507928248364546</v>
      </c>
      <c r="D101" s="24">
        <f>INDEX('IDF Distributions'!$A$1:$AB$290,MATCH('Bulk Tool'!$A101,'IDF Distributions'!$A$1:$A$290,0),MATCH('Bulk Tool'!D$5,'IDF Distributions'!$A$1:$AB$1,0))*INDEX($N$5:$N$11,MATCH(D$6,$L$5:$L$11,0))*IF($E$2="Depth (mm)",(1),IF($E$2="Intensity (mm/hr)",12,0))</f>
        <v>4.6522850008240244</v>
      </c>
      <c r="E101" s="24">
        <f>INDEX('IDF Distributions'!$A$1:$AB$290,MATCH('Bulk Tool'!$A101,'IDF Distributions'!$A$1:$A$290,0),MATCH('Bulk Tool'!E$5,'IDF Distributions'!$A$1:$AB$1,0))*INDEX($N$5:$N$11,MATCH(E$6,$L$5:$L$11,0))*IF($E$2="Depth (mm)",(1),IF($E$2="Intensity (mm/hr)",12,0))</f>
        <v>5.6180295893553573</v>
      </c>
      <c r="F101" s="24">
        <f>INDEX('IDF Distributions'!$A$1:$AB$290,MATCH('Bulk Tool'!$A101,'IDF Distributions'!$A$1:$A$290,0),MATCH('Bulk Tool'!F$5,'IDF Distributions'!$A$1:$AB$1,0))*INDEX($N$5:$N$11,MATCH(F$6,$L$5:$L$11,0))*IF($E$2="Depth (mm)",(1),IF($E$2="Intensity (mm/hr)",12,0))</f>
        <v>6.3802691083391565</v>
      </c>
      <c r="G101" s="24">
        <f>INDEX('IDF Distributions'!$A$1:$AB$290,MATCH('Bulk Tool'!$A101,'IDF Distributions'!$A$1:$A$290,0),MATCH('Bulk Tool'!G$5,'IDF Distributions'!$A$1:$AB$1,0))*INDEX($N$5:$N$11,MATCH(G$6,$L$5:$L$11,0))*IF($E$2="Depth (mm)",(1),IF($E$2="Intensity (mm/hr)",12,0))</f>
        <v>7.1862252603907706</v>
      </c>
      <c r="H101" s="24">
        <f>INDEX('IDF Distributions'!$A$1:$AB$290,MATCH('Bulk Tool'!$A101,'IDF Distributions'!$A$1:$A$290,0),MATCH('Bulk Tool'!H$5,'IDF Distributions'!$A$1:$AB$1,0))*INDEX($N$5:$N$11,MATCH(H$6,$L$5:$L$11,0))*IF($E$2="Depth (mm)",(1),IF($E$2="Intensity (mm/hr)",12,0))</f>
        <v>8.0481434513505992</v>
      </c>
      <c r="I101" s="12" t="str">
        <f>IF(COUNTIF($H$7:H101,$H$7)&gt;1,"Do Not Copy","Copy")</f>
        <v>Copy</v>
      </c>
      <c r="L101"/>
      <c r="M101" s="2"/>
    </row>
    <row r="102" spans="1:13" x14ac:dyDescent="0.25">
      <c r="A102" s="128">
        <f t="shared" si="4"/>
        <v>0.32986111111111044</v>
      </c>
      <c r="B102" s="24">
        <f>INDEX('IDF Distributions'!$A$1:$AB$290,MATCH('Bulk Tool'!$A102,'IDF Distributions'!$A$1:$A$290,0),MATCH('Bulk Tool'!B$5,'IDF Distributions'!$A$1:$AB$1,0))*INDEX($N$5:$N$11,MATCH(B$6,$L$5:$L$11,0))*IF($E$2="Depth (mm)",(1),IF($E$2="Intensity (mm/hr)",12,0))</f>
        <v>2.8785762717242918</v>
      </c>
      <c r="C102" s="24">
        <f>INDEX('IDF Distributions'!$A$1:$AB$290,MATCH('Bulk Tool'!$A102,'IDF Distributions'!$A$1:$A$290,0),MATCH('Bulk Tool'!C$5,'IDF Distributions'!$A$1:$AB$1,0))*INDEX($N$5:$N$11,MATCH(C$6,$L$5:$L$11,0))*IF($E$2="Depth (mm)",(1),IF($E$2="Intensity (mm/hr)",12,0))</f>
        <v>3.8384793164380842</v>
      </c>
      <c r="D102" s="24">
        <f>INDEX('IDF Distributions'!$A$1:$AB$290,MATCH('Bulk Tool'!$A102,'IDF Distributions'!$A$1:$A$290,0),MATCH('Bulk Tool'!D$5,'IDF Distributions'!$A$1:$AB$1,0))*INDEX($N$5:$N$11,MATCH(D$6,$L$5:$L$11,0))*IF($E$2="Depth (mm)",(1),IF($E$2="Intensity (mm/hr)",12,0))</f>
        <v>4.5200294071551026</v>
      </c>
      <c r="E102" s="24">
        <f>INDEX('IDF Distributions'!$A$1:$AB$290,MATCH('Bulk Tool'!$A102,'IDF Distributions'!$A$1:$A$290,0),MATCH('Bulk Tool'!E$5,'IDF Distributions'!$A$1:$AB$1,0))*INDEX($N$5:$N$11,MATCH(E$6,$L$5:$L$11,0))*IF($E$2="Depth (mm)",(1),IF($E$2="Intensity (mm/hr)",12,0))</f>
        <v>5.4583197180860443</v>
      </c>
      <c r="F102" s="24">
        <f>INDEX('IDF Distributions'!$A$1:$AB$290,MATCH('Bulk Tool'!$A102,'IDF Distributions'!$A$1:$A$290,0),MATCH('Bulk Tool'!F$5,'IDF Distributions'!$A$1:$AB$1,0))*INDEX($N$5:$N$11,MATCH(F$6,$L$5:$L$11,0))*IF($E$2="Depth (mm)",(1),IF($E$2="Intensity (mm/hr)",12,0))</f>
        <v>6.1988902206438805</v>
      </c>
      <c r="G102" s="24">
        <f>INDEX('IDF Distributions'!$A$1:$AB$290,MATCH('Bulk Tool'!$A102,'IDF Distributions'!$A$1:$A$290,0),MATCH('Bulk Tool'!G$5,'IDF Distributions'!$A$1:$AB$1,0))*INDEX($N$5:$N$11,MATCH(G$6,$L$5:$L$11,0))*IF($E$2="Depth (mm)",(1),IF($E$2="Intensity (mm/hr)",12,0))</f>
        <v>6.9819345757308149</v>
      </c>
      <c r="H102" s="24">
        <f>INDEX('IDF Distributions'!$A$1:$AB$290,MATCH('Bulk Tool'!$A102,'IDF Distributions'!$A$1:$A$290,0),MATCH('Bulk Tool'!H$5,'IDF Distributions'!$A$1:$AB$1,0))*INDEX($N$5:$N$11,MATCH(H$6,$L$5:$L$11,0))*IF($E$2="Depth (mm)",(1),IF($E$2="Intensity (mm/hr)",12,0))</f>
        <v>7.819350075643289</v>
      </c>
      <c r="I102" s="12" t="str">
        <f>IF(COUNTIF($H$7:H102,$H$7)&gt;1,"Do Not Copy","Copy")</f>
        <v>Copy</v>
      </c>
      <c r="L102"/>
      <c r="M102" s="2"/>
    </row>
    <row r="103" spans="1:13" x14ac:dyDescent="0.25">
      <c r="A103" s="128">
        <f t="shared" si="4"/>
        <v>0.33333333333333265</v>
      </c>
      <c r="B103" s="24">
        <f>INDEX('IDF Distributions'!$A$1:$AB$290,MATCH('Bulk Tool'!$A103,'IDF Distributions'!$A$1:$A$290,0),MATCH('Bulk Tool'!B$5,'IDF Distributions'!$A$1:$AB$1,0))*INDEX($N$5:$N$11,MATCH(B$6,$L$5:$L$11,0))*IF($E$2="Depth (mm)",(1),IF($E$2="Intensity (mm/hr)",12,0))</f>
        <v>2.5763505357945466</v>
      </c>
      <c r="C103" s="24">
        <f>INDEX('IDF Distributions'!$A$1:$AB$290,MATCH('Bulk Tool'!$A103,'IDF Distributions'!$A$1:$A$290,0),MATCH('Bulk Tool'!C$5,'IDF Distributions'!$A$1:$AB$1,0))*INDEX($N$5:$N$11,MATCH(C$6,$L$5:$L$11,0))*IF($E$2="Depth (mm)",(1),IF($E$2="Intensity (mm/hr)",12,0))</f>
        <v>3.4354720215969081</v>
      </c>
      <c r="D103" s="24">
        <f>INDEX('IDF Distributions'!$A$1:$AB$290,MATCH('Bulk Tool'!$A103,'IDF Distributions'!$A$1:$A$290,0),MATCH('Bulk Tool'!D$5,'IDF Distributions'!$A$1:$AB$1,0))*INDEX($N$5:$N$11,MATCH(D$6,$L$5:$L$11,0))*IF($E$2="Depth (mm)",(1),IF($E$2="Intensity (mm/hr)",12,0))</f>
        <v>4.0454652181078368</v>
      </c>
      <c r="E103" s="24">
        <f>INDEX('IDF Distributions'!$A$1:$AB$290,MATCH('Bulk Tool'!$A103,'IDF Distributions'!$A$1:$A$290,0),MATCH('Bulk Tool'!E$5,'IDF Distributions'!$A$1:$AB$1,0))*INDEX($N$5:$N$11,MATCH(E$6,$L$5:$L$11,0))*IF($E$2="Depth (mm)",(1),IF($E$2="Intensity (mm/hr)",12,0))</f>
        <v>4.8852431211785596</v>
      </c>
      <c r="F103" s="24">
        <f>INDEX('IDF Distributions'!$A$1:$AB$290,MATCH('Bulk Tool'!$A103,'IDF Distributions'!$A$1:$A$290,0),MATCH('Bulk Tool'!F$5,'IDF Distributions'!$A$1:$AB$1,0))*INDEX($N$5:$N$11,MATCH(F$6,$L$5:$L$11,0))*IF($E$2="Depth (mm)",(1),IF($E$2="Intensity (mm/hr)",12,0))</f>
        <v>5.5480600942079477</v>
      </c>
      <c r="G103" s="24">
        <f>INDEX('IDF Distributions'!$A$1:$AB$290,MATCH('Bulk Tool'!$A103,'IDF Distributions'!$A$1:$A$290,0),MATCH('Bulk Tool'!G$5,'IDF Distributions'!$A$1:$AB$1,0))*INDEX($N$5:$N$11,MATCH(G$6,$L$5:$L$11,0))*IF($E$2="Depth (mm)",(1),IF($E$2="Intensity (mm/hr)",12,0))</f>
        <v>6.2488915307745669</v>
      </c>
      <c r="H103" s="24">
        <f>INDEX('IDF Distributions'!$A$1:$AB$290,MATCH('Bulk Tool'!$A103,'IDF Distributions'!$A$1:$A$290,0),MATCH('Bulk Tool'!H$5,'IDF Distributions'!$A$1:$AB$1,0))*INDEX($N$5:$N$11,MATCH(H$6,$L$5:$L$11,0))*IF($E$2="Depth (mm)",(1),IF($E$2="Intensity (mm/hr)",12,0))</f>
        <v>6.998385609870069</v>
      </c>
      <c r="I103" s="12" t="str">
        <f>IF(COUNTIF($H$7:H103,$H$7)&gt;1,"Do Not Copy","Copy")</f>
        <v>Copy</v>
      </c>
      <c r="L103"/>
      <c r="M103" s="2"/>
    </row>
    <row r="104" spans="1:13" x14ac:dyDescent="0.25">
      <c r="A104" s="128">
        <f t="shared" si="4"/>
        <v>0.33680555555555486</v>
      </c>
      <c r="B104" s="24">
        <f>INDEX('IDF Distributions'!$A$1:$AB$290,MATCH('Bulk Tool'!$A104,'IDF Distributions'!$A$1:$A$290,0),MATCH('Bulk Tool'!B$5,'IDF Distributions'!$A$1:$AB$1,0))*INDEX($N$5:$N$11,MATCH(B$6,$L$5:$L$11,0))*IF($E$2="Depth (mm)",(1),IF($E$2="Intensity (mm/hr)",12,0))</f>
        <v>1.7836272940116129</v>
      </c>
      <c r="C104" s="24">
        <f>INDEX('IDF Distributions'!$A$1:$AB$290,MATCH('Bulk Tool'!$A104,'IDF Distributions'!$A$1:$A$290,0),MATCH('Bulk Tool'!C$5,'IDF Distributions'!$A$1:$AB$1,0))*INDEX($N$5:$N$11,MATCH(C$6,$L$5:$L$11,0))*IF($E$2="Depth (mm)",(1),IF($E$2="Intensity (mm/hr)",12,0))</f>
        <v>2.3784037072594031</v>
      </c>
      <c r="D104" s="24">
        <f>INDEX('IDF Distributions'!$A$1:$AB$290,MATCH('Bulk Tool'!$A104,'IDF Distributions'!$A$1:$A$290,0),MATCH('Bulk Tool'!D$5,'IDF Distributions'!$A$1:$AB$1,0))*INDEX($N$5:$N$11,MATCH(D$6,$L$5:$L$11,0))*IF($E$2="Depth (mm)",(1),IF($E$2="Intensity (mm/hr)",12,0))</f>
        <v>2.800706689459278</v>
      </c>
      <c r="E104" s="24">
        <f>INDEX('IDF Distributions'!$A$1:$AB$290,MATCH('Bulk Tool'!$A104,'IDF Distributions'!$A$1:$A$290,0),MATCH('Bulk Tool'!E$5,'IDF Distributions'!$A$1:$AB$1,0))*INDEX($N$5:$N$11,MATCH(E$6,$L$5:$L$11,0))*IF($E$2="Depth (mm)",(1),IF($E$2="Intensity (mm/hr)",12,0))</f>
        <v>3.3820913915851634</v>
      </c>
      <c r="F104" s="24">
        <f>INDEX('IDF Distributions'!$A$1:$AB$290,MATCH('Bulk Tool'!$A104,'IDF Distributions'!$A$1:$A$290,0),MATCH('Bulk Tool'!F$5,'IDF Distributions'!$A$1:$AB$1,0))*INDEX($N$5:$N$11,MATCH(F$6,$L$5:$L$11,0))*IF($E$2="Depth (mm)",(1),IF($E$2="Intensity (mm/hr)",12,0))</f>
        <v>3.8409646806055102</v>
      </c>
      <c r="G104" s="24">
        <f>INDEX('IDF Distributions'!$A$1:$AB$290,MATCH('Bulk Tool'!$A104,'IDF Distributions'!$A$1:$A$290,0),MATCH('Bulk Tool'!G$5,'IDF Distributions'!$A$1:$AB$1,0))*INDEX($N$5:$N$11,MATCH(G$6,$L$5:$L$11,0))*IF($E$2="Depth (mm)",(1),IF($E$2="Intensity (mm/hr)",12,0))</f>
        <v>4.3261556751516324</v>
      </c>
      <c r="H104" s="24">
        <f>INDEX('IDF Distributions'!$A$1:$AB$290,MATCH('Bulk Tool'!$A104,'IDF Distributions'!$A$1:$A$290,0),MATCH('Bulk Tool'!H$5,'IDF Distributions'!$A$1:$AB$1,0))*INDEX($N$5:$N$11,MATCH(H$6,$L$5:$L$11,0))*IF($E$2="Depth (mm)",(1),IF($E$2="Intensity (mm/hr)",12,0))</f>
        <v>4.8450361914485196</v>
      </c>
      <c r="I104" s="12" t="str">
        <f>IF(COUNTIF($H$7:H104,$H$7)&gt;1,"Do Not Copy","Copy")</f>
        <v>Copy</v>
      </c>
      <c r="L104"/>
      <c r="M104" s="2"/>
    </row>
    <row r="105" spans="1:13" x14ac:dyDescent="0.25">
      <c r="A105" s="128">
        <f t="shared" si="4"/>
        <v>0.34027777777777707</v>
      </c>
      <c r="B105" s="24">
        <f>INDEX('IDF Distributions'!$A$1:$AB$290,MATCH('Bulk Tool'!$A105,'IDF Distributions'!$A$1:$A$290,0),MATCH('Bulk Tool'!B$5,'IDF Distributions'!$A$1:$AB$1,0))*INDEX($N$5:$N$11,MATCH(B$6,$L$5:$L$11,0))*IF($E$2="Depth (mm)",(1),IF($E$2="Intensity (mm/hr)",12,0))</f>
        <v>1.5235149803015819</v>
      </c>
      <c r="C105" s="24">
        <f>INDEX('IDF Distributions'!$A$1:$AB$290,MATCH('Bulk Tool'!$A105,'IDF Distributions'!$A$1:$A$290,0),MATCH('Bulk Tool'!C$5,'IDF Distributions'!$A$1:$AB$1,0))*INDEX($N$5:$N$11,MATCH(C$6,$L$5:$L$11,0))*IF($E$2="Depth (mm)",(1),IF($E$2="Intensity (mm/hr)",12,0))</f>
        <v>2.0315531666174014</v>
      </c>
      <c r="D105" s="24">
        <f>INDEX('IDF Distributions'!$A$1:$AB$290,MATCH('Bulk Tool'!$A105,'IDF Distributions'!$A$1:$A$290,0),MATCH('Bulk Tool'!D$5,'IDF Distributions'!$A$1:$AB$1,0))*INDEX($N$5:$N$11,MATCH(D$6,$L$5:$L$11,0))*IF($E$2="Depth (mm)",(1),IF($E$2="Intensity (mm/hr)",12,0))</f>
        <v>2.3922702972464602</v>
      </c>
      <c r="E105" s="24">
        <f>INDEX('IDF Distributions'!$A$1:$AB$290,MATCH('Bulk Tool'!$A105,'IDF Distributions'!$A$1:$A$290,0),MATCH('Bulk Tool'!E$5,'IDF Distributions'!$A$1:$AB$1,0))*INDEX($N$5:$N$11,MATCH(E$6,$L$5:$L$11,0))*IF($E$2="Depth (mm)",(1),IF($E$2="Intensity (mm/hr)",12,0))</f>
        <v>2.8888697303123196</v>
      </c>
      <c r="F105" s="24">
        <f>INDEX('IDF Distributions'!$A$1:$AB$290,MATCH('Bulk Tool'!$A105,'IDF Distributions'!$A$1:$A$290,0),MATCH('Bulk Tool'!F$5,'IDF Distributions'!$A$1:$AB$1,0))*INDEX($N$5:$N$11,MATCH(F$6,$L$5:$L$11,0))*IF($E$2="Depth (mm)",(1),IF($E$2="Intensity (mm/hr)",12,0))</f>
        <v>3.2808239980171976</v>
      </c>
      <c r="G105" s="24">
        <f>INDEX('IDF Distributions'!$A$1:$AB$290,MATCH('Bulk Tool'!$A105,'IDF Distributions'!$A$1:$A$290,0),MATCH('Bulk Tool'!G$5,'IDF Distributions'!$A$1:$AB$1,0))*INDEX($N$5:$N$11,MATCH(G$6,$L$5:$L$11,0))*IF($E$2="Depth (mm)",(1),IF($E$2="Intensity (mm/hr)",12,0))</f>
        <v>3.6952579725253427</v>
      </c>
      <c r="H105" s="24">
        <f>INDEX('IDF Distributions'!$A$1:$AB$290,MATCH('Bulk Tool'!$A105,'IDF Distributions'!$A$1:$A$290,0),MATCH('Bulk Tool'!H$5,'IDF Distributions'!$A$1:$AB$1,0))*INDEX($N$5:$N$11,MATCH(H$6,$L$5:$L$11,0))*IF($E$2="Depth (mm)",(1),IF($E$2="Intensity (mm/hr)",12,0))</f>
        <v>4.1384684135289325</v>
      </c>
      <c r="I105" s="12" t="str">
        <f>IF(COUNTIF($H$7:H105,$H$7)&gt;1,"Do Not Copy","Copy")</f>
        <v>Copy</v>
      </c>
      <c r="L105"/>
      <c r="M105" s="2"/>
    </row>
    <row r="106" spans="1:13" x14ac:dyDescent="0.25">
      <c r="A106" s="128">
        <f t="shared" si="4"/>
        <v>0.34374999999999928</v>
      </c>
      <c r="B106" s="24">
        <f>INDEX('IDF Distributions'!$A$1:$AB$290,MATCH('Bulk Tool'!$A106,'IDF Distributions'!$A$1:$A$290,0),MATCH('Bulk Tool'!B$5,'IDF Distributions'!$A$1:$AB$1,0))*INDEX($N$5:$N$11,MATCH(B$6,$L$5:$L$11,0))*IF($E$2="Depth (mm)",(1),IF($E$2="Intensity (mm/hr)",12,0))</f>
        <v>1.3550612914227096</v>
      </c>
      <c r="C106" s="24">
        <f>INDEX('IDF Distributions'!$A$1:$AB$290,MATCH('Bulk Tool'!$A106,'IDF Distributions'!$A$1:$A$290,0),MATCH('Bulk Tool'!C$5,'IDF Distributions'!$A$1:$AB$1,0))*INDEX($N$5:$N$11,MATCH(C$6,$L$5:$L$11,0))*IF($E$2="Depth (mm)",(1),IF($E$2="Intensity (mm/hr)",12,0))</f>
        <v>1.8069261498206828</v>
      </c>
      <c r="D106" s="24">
        <f>INDEX('IDF Distributions'!$A$1:$AB$290,MATCH('Bulk Tool'!$A106,'IDF Distributions'!$A$1:$A$290,0),MATCH('Bulk Tool'!D$5,'IDF Distributions'!$A$1:$AB$1,0))*INDEX($N$5:$N$11,MATCH(D$6,$L$5:$L$11,0))*IF($E$2="Depth (mm)",(1),IF($E$2="Intensity (mm/hr)",12,0))</f>
        <v>2.1277591099086428</v>
      </c>
      <c r="E106" s="24">
        <f>INDEX('IDF Distributions'!$A$1:$AB$290,MATCH('Bulk Tool'!$A106,'IDF Distributions'!$A$1:$A$290,0),MATCH('Bulk Tool'!E$5,'IDF Distributions'!$A$1:$AB$1,0))*INDEX($N$5:$N$11,MATCH(E$6,$L$5:$L$11,0))*IF($E$2="Depth (mm)",(1),IF($E$2="Intensity (mm/hr)",12,0))</f>
        <v>2.5694499877737247</v>
      </c>
      <c r="F106" s="24">
        <f>INDEX('IDF Distributions'!$A$1:$AB$290,MATCH('Bulk Tool'!$A106,'IDF Distributions'!$A$1:$A$290,0),MATCH('Bulk Tool'!F$5,'IDF Distributions'!$A$1:$AB$1,0))*INDEX($N$5:$N$11,MATCH(F$6,$L$5:$L$11,0))*IF($E$2="Depth (mm)",(1),IF($E$2="Intensity (mm/hr)",12,0))</f>
        <v>2.918066222626682</v>
      </c>
      <c r="G106" s="24">
        <f>INDEX('IDF Distributions'!$A$1:$AB$290,MATCH('Bulk Tool'!$A106,'IDF Distributions'!$A$1:$A$290,0),MATCH('Bulk Tool'!G$5,'IDF Distributions'!$A$1:$AB$1,0))*INDEX($N$5:$N$11,MATCH(G$6,$L$5:$L$11,0))*IF($E$2="Depth (mm)",(1),IF($E$2="Intensity (mm/hr)",12,0))</f>
        <v>3.2866766032054722</v>
      </c>
      <c r="H106" s="24">
        <f>INDEX('IDF Distributions'!$A$1:$AB$290,MATCH('Bulk Tool'!$A106,'IDF Distributions'!$A$1:$A$290,0),MATCH('Bulk Tool'!H$5,'IDF Distributions'!$A$1:$AB$1,0))*INDEX($N$5:$N$11,MATCH(H$6,$L$5:$L$11,0))*IF($E$2="Depth (mm)",(1),IF($E$2="Intensity (mm/hr)",12,0))</f>
        <v>3.6808816621143565</v>
      </c>
      <c r="I106" s="12" t="str">
        <f>IF(COUNTIF($H$7:H106,$H$7)&gt;1,"Do Not Copy","Copy")</f>
        <v>Copy</v>
      </c>
      <c r="L106"/>
      <c r="M106" s="2"/>
    </row>
    <row r="107" spans="1:13" x14ac:dyDescent="0.25">
      <c r="A107" s="128">
        <f t="shared" si="4"/>
        <v>0.34722222222222149</v>
      </c>
      <c r="B107" s="24">
        <f>INDEX('IDF Distributions'!$A$1:$AB$290,MATCH('Bulk Tool'!$A107,'IDF Distributions'!$A$1:$A$290,0),MATCH('Bulk Tool'!B$5,'IDF Distributions'!$A$1:$AB$1,0))*INDEX($N$5:$N$11,MATCH(B$6,$L$5:$L$11,0))*IF($E$2="Depth (mm)",(1),IF($E$2="Intensity (mm/hr)",12,0))</f>
        <v>1.2163347241106943</v>
      </c>
      <c r="C107" s="24">
        <f>INDEX('IDF Distributions'!$A$1:$AB$290,MATCH('Bulk Tool'!$A107,'IDF Distributions'!$A$1:$A$290,0),MATCH('Bulk Tool'!C$5,'IDF Distributions'!$A$1:$AB$1,0))*INDEX($N$5:$N$11,MATCH(C$6,$L$5:$L$11,0))*IF($E$2="Depth (mm)",(1),IF($E$2="Intensity (mm/hr)",12,0))</f>
        <v>1.6219391948116164</v>
      </c>
      <c r="D107" s="24">
        <f>INDEX('IDF Distributions'!$A$1:$AB$290,MATCH('Bulk Tool'!$A107,'IDF Distributions'!$A$1:$A$290,0),MATCH('Bulk Tool'!D$5,'IDF Distributions'!$A$1:$AB$1,0))*INDEX($N$5:$N$11,MATCH(D$6,$L$5:$L$11,0))*IF($E$2="Depth (mm)",(1),IF($E$2="Intensity (mm/hr)",12,0))</f>
        <v>1.9099263673951419</v>
      </c>
      <c r="E107" s="24">
        <f>INDEX('IDF Distributions'!$A$1:$AB$290,MATCH('Bulk Tool'!$A107,'IDF Distributions'!$A$1:$A$290,0),MATCH('Bulk Tool'!E$5,'IDF Distributions'!$A$1:$AB$1,0))*INDEX($N$5:$N$11,MATCH(E$6,$L$5:$L$11,0))*IF($E$2="Depth (mm)",(1),IF($E$2="Intensity (mm/hr)",12,0))</f>
        <v>2.3063984350948767</v>
      </c>
      <c r="F107" s="24">
        <f>INDEX('IDF Distributions'!$A$1:$AB$290,MATCH('Bulk Tool'!$A107,'IDF Distributions'!$A$1:$A$290,0),MATCH('Bulk Tool'!F$5,'IDF Distributions'!$A$1:$AB$1,0))*INDEX($N$5:$N$11,MATCH(F$6,$L$5:$L$11,0))*IF($E$2="Depth (mm)",(1),IF($E$2="Intensity (mm/hr)",12,0))</f>
        <v>2.6193245252462511</v>
      </c>
      <c r="G107" s="24">
        <f>INDEX('IDF Distributions'!$A$1:$AB$290,MATCH('Bulk Tool'!$A107,'IDF Distributions'!$A$1:$A$290,0),MATCH('Bulk Tool'!G$5,'IDF Distributions'!$A$1:$AB$1,0))*INDEX($N$5:$N$11,MATCH(G$6,$L$5:$L$11,0))*IF($E$2="Depth (mm)",(1),IF($E$2="Intensity (mm/hr)",12,0))</f>
        <v>2.9501978284714534</v>
      </c>
      <c r="H107" s="24">
        <f>INDEX('IDF Distributions'!$A$1:$AB$290,MATCH('Bulk Tool'!$A107,'IDF Distributions'!$A$1:$A$290,0),MATCH('Bulk Tool'!H$5,'IDF Distributions'!$A$1:$AB$1,0))*INDEX($N$5:$N$11,MATCH(H$6,$L$5:$L$11,0))*IF($E$2="Depth (mm)",(1),IF($E$2="Intensity (mm/hr)",12,0))</f>
        <v>3.3040455138905793</v>
      </c>
      <c r="I107" s="12" t="str">
        <f>IF(COUNTIF($H$7:H107,$H$7)&gt;1,"Do Not Copy","Copy")</f>
        <v>Copy</v>
      </c>
      <c r="L107"/>
      <c r="M107" s="2"/>
    </row>
    <row r="108" spans="1:13" x14ac:dyDescent="0.25">
      <c r="A108" s="128">
        <f t="shared" si="4"/>
        <v>0.3506944444444437</v>
      </c>
      <c r="B108" s="24">
        <f>INDEX('IDF Distributions'!$A$1:$AB$290,MATCH('Bulk Tool'!$A108,'IDF Distributions'!$A$1:$A$290,0),MATCH('Bulk Tool'!B$5,'IDF Distributions'!$A$1:$AB$1,0))*INDEX($N$5:$N$11,MATCH(B$6,$L$5:$L$11,0))*IF($E$2="Depth (mm)",(1),IF($E$2="Intensity (mm/hr)",12,0))</f>
        <v>1.1073352783655439</v>
      </c>
      <c r="C108" s="24">
        <f>INDEX('IDF Distributions'!$A$1:$AB$290,MATCH('Bulk Tool'!$A108,'IDF Distributions'!$A$1:$A$290,0),MATCH('Bulk Tool'!C$5,'IDF Distributions'!$A$1:$AB$1,0))*INDEX($N$5:$N$11,MATCH(C$6,$L$5:$L$11,0))*IF($E$2="Depth (mm)",(1),IF($E$2="Intensity (mm/hr)",12,0))</f>
        <v>1.4765923015902138</v>
      </c>
      <c r="D108" s="24">
        <f>INDEX('IDF Distributions'!$A$1:$AB$290,MATCH('Bulk Tool'!$A108,'IDF Distributions'!$A$1:$A$290,0),MATCH('Bulk Tool'!D$5,'IDF Distributions'!$A$1:$AB$1,0))*INDEX($N$5:$N$11,MATCH(D$6,$L$5:$L$11,0))*IF($E$2="Depth (mm)",(1),IF($E$2="Intensity (mm/hr)",12,0))</f>
        <v>1.7387720697059699</v>
      </c>
      <c r="E108" s="24">
        <f>INDEX('IDF Distributions'!$A$1:$AB$290,MATCH('Bulk Tool'!$A108,'IDF Distributions'!$A$1:$A$290,0),MATCH('Bulk Tool'!E$5,'IDF Distributions'!$A$1:$AB$1,0))*INDEX($N$5:$N$11,MATCH(E$6,$L$5:$L$11,0))*IF($E$2="Depth (mm)",(1),IF($E$2="Intensity (mm/hr)",12,0))</f>
        <v>2.0997150722757905</v>
      </c>
      <c r="F108" s="24">
        <f>INDEX('IDF Distributions'!$A$1:$AB$290,MATCH('Bulk Tool'!$A108,'IDF Distributions'!$A$1:$A$290,0),MATCH('Bulk Tool'!F$5,'IDF Distributions'!$A$1:$AB$1,0))*INDEX($N$5:$N$11,MATCH(F$6,$L$5:$L$11,0))*IF($E$2="Depth (mm)",(1),IF($E$2="Intensity (mm/hr)",12,0))</f>
        <v>2.3845989058759227</v>
      </c>
      <c r="G108" s="24">
        <f>INDEX('IDF Distributions'!$A$1:$AB$290,MATCH('Bulk Tool'!$A108,'IDF Distributions'!$A$1:$A$290,0),MATCH('Bulk Tool'!G$5,'IDF Distributions'!$A$1:$AB$1,0))*INDEX($N$5:$N$11,MATCH(G$6,$L$5:$L$11,0))*IF($E$2="Depth (mm)",(1),IF($E$2="Intensity (mm/hr)",12,0))</f>
        <v>2.6858216483233073</v>
      </c>
      <c r="H108" s="24">
        <f>INDEX('IDF Distributions'!$A$1:$AB$290,MATCH('Bulk Tool'!$A108,'IDF Distributions'!$A$1:$A$290,0),MATCH('Bulk Tool'!H$5,'IDF Distributions'!$A$1:$AB$1,0))*INDEX($N$5:$N$11,MATCH(H$6,$L$5:$L$11,0))*IF($E$2="Depth (mm)",(1),IF($E$2="Intensity (mm/hr)",12,0))</f>
        <v>3.0079599688576248</v>
      </c>
      <c r="I108" s="12" t="str">
        <f>IF(COUNTIF($H$7:H108,$H$7)&gt;1,"Do Not Copy","Copy")</f>
        <v>Copy</v>
      </c>
      <c r="L108"/>
      <c r="M108" s="2"/>
    </row>
    <row r="109" spans="1:13" x14ac:dyDescent="0.25">
      <c r="A109" s="128">
        <f t="shared" si="4"/>
        <v>0.35416666666666591</v>
      </c>
      <c r="B109" s="24">
        <f>INDEX('IDF Distributions'!$A$1:$AB$290,MATCH('Bulk Tool'!$A109,'IDF Distributions'!$A$1:$A$290,0),MATCH('Bulk Tool'!B$5,'IDF Distributions'!$A$1:$AB$1,0))*INDEX($N$5:$N$11,MATCH(B$6,$L$5:$L$11,0))*IF($E$2="Depth (mm)",(1),IF($E$2="Intensity (mm/hr)",12,0))</f>
        <v>1.0553128156235361</v>
      </c>
      <c r="C109" s="24">
        <f>INDEX('IDF Distributions'!$A$1:$AB$290,MATCH('Bulk Tool'!$A109,'IDF Distributions'!$A$1:$A$290,0),MATCH('Bulk Tool'!C$5,'IDF Distributions'!$A$1:$AB$1,0))*INDEX($N$5:$N$11,MATCH(C$6,$L$5:$L$11,0))*IF($E$2="Depth (mm)",(1),IF($E$2="Intensity (mm/hr)",12,0))</f>
        <v>1.4072221934618112</v>
      </c>
      <c r="D109" s="24">
        <f>INDEX('IDF Distributions'!$A$1:$AB$290,MATCH('Bulk Tool'!$A109,'IDF Distributions'!$A$1:$A$290,0),MATCH('Bulk Tool'!D$5,'IDF Distributions'!$A$1:$AB$1,0))*INDEX($N$5:$N$11,MATCH(D$6,$L$5:$L$11,0))*IF($E$2="Depth (mm)",(1),IF($E$2="Intensity (mm/hr)",12,0))</f>
        <v>1.6570847912634035</v>
      </c>
      <c r="E109" s="24">
        <f>INDEX('IDF Distributions'!$A$1:$AB$290,MATCH('Bulk Tool'!$A109,'IDF Distributions'!$A$1:$A$290,0),MATCH('Bulk Tool'!E$5,'IDF Distributions'!$A$1:$AB$1,0))*INDEX($N$5:$N$11,MATCH(E$6,$L$5:$L$11,0))*IF($E$2="Depth (mm)",(1),IF($E$2="Intensity (mm/hr)",12,0))</f>
        <v>2.0010707400212189</v>
      </c>
      <c r="F109" s="24">
        <f>INDEX('IDF Distributions'!$A$1:$AB$290,MATCH('Bulk Tool'!$A109,'IDF Distributions'!$A$1:$A$290,0),MATCH('Bulk Tool'!F$5,'IDF Distributions'!$A$1:$AB$1,0))*INDEX($N$5:$N$11,MATCH(F$6,$L$5:$L$11,0))*IF($E$2="Depth (mm)",(1),IF($E$2="Intensity (mm/hr)",12,0))</f>
        <v>2.2725707693582566</v>
      </c>
      <c r="G109" s="24">
        <f>INDEX('IDF Distributions'!$A$1:$AB$290,MATCH('Bulk Tool'!$A109,'IDF Distributions'!$A$1:$A$290,0),MATCH('Bulk Tool'!G$5,'IDF Distributions'!$A$1:$AB$1,0))*INDEX($N$5:$N$11,MATCH(G$6,$L$5:$L$11,0))*IF($E$2="Depth (mm)",(1),IF($E$2="Intensity (mm/hr)",12,0))</f>
        <v>2.5596421077980454</v>
      </c>
      <c r="H109" s="24">
        <f>INDEX('IDF Distributions'!$A$1:$AB$290,MATCH('Bulk Tool'!$A109,'IDF Distributions'!$A$1:$A$290,0),MATCH('Bulk Tool'!H$5,'IDF Distributions'!$A$1:$AB$1,0))*INDEX($N$5:$N$11,MATCH(H$6,$L$5:$L$11,0))*IF($E$2="Depth (mm)",(1),IF($E$2="Intensity (mm/hr)",12,0))</f>
        <v>2.8666464132737031</v>
      </c>
      <c r="I109" s="12" t="str">
        <f>IF(COUNTIF($H$7:H109,$H$7)&gt;1,"Do Not Copy","Copy")</f>
        <v>Copy</v>
      </c>
      <c r="L109"/>
      <c r="M109" s="2"/>
    </row>
    <row r="110" spans="1:13" x14ac:dyDescent="0.25">
      <c r="A110" s="128">
        <f t="shared" si="4"/>
        <v>0.35763888888888812</v>
      </c>
      <c r="B110" s="24">
        <f>INDEX('IDF Distributions'!$A$1:$AB$290,MATCH('Bulk Tool'!$A110,'IDF Distributions'!$A$1:$A$290,0),MATCH('Bulk Tool'!B$5,'IDF Distributions'!$A$1:$AB$1,0))*INDEX($N$5:$N$11,MATCH(B$6,$L$5:$L$11,0))*IF($E$2="Depth (mm)",(1),IF($E$2="Intensity (mm/hr)",12,0))</f>
        <v>1.1147670587572582</v>
      </c>
      <c r="C110" s="24">
        <f>INDEX('IDF Distributions'!$A$1:$AB$290,MATCH('Bulk Tool'!$A110,'IDF Distributions'!$A$1:$A$290,0),MATCH('Bulk Tool'!C$5,'IDF Distributions'!$A$1:$AB$1,0))*INDEX($N$5:$N$11,MATCH(C$6,$L$5:$L$11,0))*IF($E$2="Depth (mm)",(1),IF($E$2="Intensity (mm/hr)",12,0))</f>
        <v>1.486502317037127</v>
      </c>
      <c r="D110" s="24">
        <f>INDEX('IDF Distributions'!$A$1:$AB$290,MATCH('Bulk Tool'!$A110,'IDF Distributions'!$A$1:$A$290,0),MATCH('Bulk Tool'!D$5,'IDF Distributions'!$A$1:$AB$1,0))*INDEX($N$5:$N$11,MATCH(D$6,$L$5:$L$11,0))*IF($E$2="Depth (mm)",(1),IF($E$2="Intensity (mm/hr)",12,0))</f>
        <v>1.7504416809120489</v>
      </c>
      <c r="E110" s="24">
        <f>INDEX('IDF Distributions'!$A$1:$AB$290,MATCH('Bulk Tool'!$A110,'IDF Distributions'!$A$1:$A$290,0),MATCH('Bulk Tool'!E$5,'IDF Distributions'!$A$1:$AB$1,0))*INDEX($N$5:$N$11,MATCH(E$6,$L$5:$L$11,0))*IF($E$2="Depth (mm)",(1),IF($E$2="Intensity (mm/hr)",12,0))</f>
        <v>2.1138071197407271</v>
      </c>
      <c r="F110" s="24">
        <f>INDEX('IDF Distributions'!$A$1:$AB$290,MATCH('Bulk Tool'!$A110,'IDF Distributions'!$A$1:$A$290,0),MATCH('Bulk Tool'!F$5,'IDF Distributions'!$A$1:$AB$1,0))*INDEX($N$5:$N$11,MATCH(F$6,$L$5:$L$11,0))*IF($E$2="Depth (mm)",(1),IF($E$2="Intensity (mm/hr)",12,0))</f>
        <v>2.4006029253784438</v>
      </c>
      <c r="G110" s="24">
        <f>INDEX('IDF Distributions'!$A$1:$AB$290,MATCH('Bulk Tool'!$A110,'IDF Distributions'!$A$1:$A$290,0),MATCH('Bulk Tool'!G$5,'IDF Distributions'!$A$1:$AB$1,0))*INDEX($N$5:$N$11,MATCH(G$6,$L$5:$L$11,0))*IF($E$2="Depth (mm)",(1),IF($E$2="Intensity (mm/hr)",12,0))</f>
        <v>2.7038472969697707</v>
      </c>
      <c r="H110" s="24">
        <f>INDEX('IDF Distributions'!$A$1:$AB$290,MATCH('Bulk Tool'!$A110,'IDF Distributions'!$A$1:$A$290,0),MATCH('Bulk Tool'!H$5,'IDF Distributions'!$A$1:$AB$1,0))*INDEX($N$5:$N$11,MATCH(H$6,$L$5:$L$11,0))*IF($E$2="Depth (mm)",(1),IF($E$2="Intensity (mm/hr)",12,0))</f>
        <v>3.0281476196553245</v>
      </c>
      <c r="I110" s="12" t="str">
        <f>IF(COUNTIF($H$7:H110,$H$7)&gt;1,"Do Not Copy","Copy")</f>
        <v>Copy</v>
      </c>
      <c r="L110"/>
      <c r="M110" s="2"/>
    </row>
    <row r="111" spans="1:13" x14ac:dyDescent="0.25">
      <c r="A111" s="128">
        <f t="shared" si="4"/>
        <v>0.36111111111111033</v>
      </c>
      <c r="B111" s="24">
        <f>INDEX('IDF Distributions'!$A$1:$AB$290,MATCH('Bulk Tool'!$A111,'IDF Distributions'!$A$1:$A$290,0),MATCH('Bulk Tool'!B$5,'IDF Distributions'!$A$1:$AB$1,0))*INDEX($N$5:$N$11,MATCH(B$6,$L$5:$L$11,0))*IF($E$2="Depth (mm)",(1),IF($E$2="Intensity (mm/hr)",12,0))</f>
        <v>1.0528355554929647</v>
      </c>
      <c r="C111" s="24">
        <f>INDEX('IDF Distributions'!$A$1:$AB$290,MATCH('Bulk Tool'!$A111,'IDF Distributions'!$A$1:$A$290,0),MATCH('Bulk Tool'!C$5,'IDF Distributions'!$A$1:$AB$1,0))*INDEX($N$5:$N$11,MATCH(C$6,$L$5:$L$11,0))*IF($E$2="Depth (mm)",(1),IF($E$2="Intensity (mm/hr)",12,0))</f>
        <v>1.403918854979507</v>
      </c>
      <c r="D111" s="24">
        <f>INDEX('IDF Distributions'!$A$1:$AB$290,MATCH('Bulk Tool'!$A111,'IDF Distributions'!$A$1:$A$290,0),MATCH('Bulk Tool'!D$5,'IDF Distributions'!$A$1:$AB$1,0))*INDEX($N$5:$N$11,MATCH(D$6,$L$5:$L$11,0))*IF($E$2="Depth (mm)",(1),IF($E$2="Intensity (mm/hr)",12,0))</f>
        <v>1.653194920861377</v>
      </c>
      <c r="E111" s="24">
        <f>INDEX('IDF Distributions'!$A$1:$AB$290,MATCH('Bulk Tool'!$A111,'IDF Distributions'!$A$1:$A$290,0),MATCH('Bulk Tool'!E$5,'IDF Distributions'!$A$1:$AB$1,0))*INDEX($N$5:$N$11,MATCH(E$6,$L$5:$L$11,0))*IF($E$2="Depth (mm)",(1),IF($E$2="Intensity (mm/hr)",12,0))</f>
        <v>1.99637339086624</v>
      </c>
      <c r="F111" s="24">
        <f>INDEX('IDF Distributions'!$A$1:$AB$290,MATCH('Bulk Tool'!$A111,'IDF Distributions'!$A$1:$A$290,0),MATCH('Bulk Tool'!F$5,'IDF Distributions'!$A$1:$AB$1,0))*INDEX($N$5:$N$11,MATCH(F$6,$L$5:$L$11,0))*IF($E$2="Depth (mm)",(1),IF($E$2="Intensity (mm/hr)",12,0))</f>
        <v>2.2672360961907496</v>
      </c>
      <c r="G111" s="24">
        <f>INDEX('IDF Distributions'!$A$1:$AB$290,MATCH('Bulk Tool'!$A111,'IDF Distributions'!$A$1:$A$290,0),MATCH('Bulk Tool'!G$5,'IDF Distributions'!$A$1:$AB$1,0))*INDEX($N$5:$N$11,MATCH(G$6,$L$5:$L$11,0))*IF($E$2="Depth (mm)",(1),IF($E$2="Intensity (mm/hr)",12,0))</f>
        <v>2.5536335582492242</v>
      </c>
      <c r="H111" s="24">
        <f>INDEX('IDF Distributions'!$A$1:$AB$290,MATCH('Bulk Tool'!$A111,'IDF Distributions'!$A$1:$A$290,0),MATCH('Bulk Tool'!H$5,'IDF Distributions'!$A$1:$AB$1,0))*INDEX($N$5:$N$11,MATCH(H$6,$L$5:$L$11,0))*IF($E$2="Depth (mm)",(1),IF($E$2="Intensity (mm/hr)",12,0))</f>
        <v>2.8599171963411365</v>
      </c>
      <c r="I111" s="12" t="str">
        <f>IF(COUNTIF($H$7:H111,$H$7)&gt;1,"Do Not Copy","Copy")</f>
        <v>Copy</v>
      </c>
      <c r="L111"/>
      <c r="M111" s="2"/>
    </row>
    <row r="112" spans="1:13" x14ac:dyDescent="0.25">
      <c r="A112" s="128">
        <f t="shared" si="4"/>
        <v>0.36458333333333254</v>
      </c>
      <c r="B112" s="24">
        <f>INDEX('IDF Distributions'!$A$1:$AB$290,MATCH('Bulk Tool'!$A112,'IDF Distributions'!$A$1:$A$290,0),MATCH('Bulk Tool'!B$5,'IDF Distributions'!$A$1:$AB$1,0))*INDEX($N$5:$N$11,MATCH(B$6,$L$5:$L$11,0))*IF($E$2="Depth (mm)",(1),IF($E$2="Intensity (mm/hr)",12,0))</f>
        <v>1.00329035288152</v>
      </c>
      <c r="C112" s="24">
        <f>INDEX('IDF Distributions'!$A$1:$AB$290,MATCH('Bulk Tool'!$A112,'IDF Distributions'!$A$1:$A$290,0),MATCH('Bulk Tool'!C$5,'IDF Distributions'!$A$1:$AB$1,0))*INDEX($N$5:$N$11,MATCH(C$6,$L$5:$L$11,0))*IF($E$2="Depth (mm)",(1),IF($E$2="Intensity (mm/hr)",12,0))</f>
        <v>1.3378520853333977</v>
      </c>
      <c r="D112" s="24">
        <f>INDEX('IDF Distributions'!$A$1:$AB$290,MATCH('Bulk Tool'!$A112,'IDF Distributions'!$A$1:$A$290,0),MATCH('Bulk Tool'!D$5,'IDF Distributions'!$A$1:$AB$1,0))*INDEX($N$5:$N$11,MATCH(D$6,$L$5:$L$11,0))*IF($E$2="Depth (mm)",(1),IF($E$2="Intensity (mm/hr)",12,0))</f>
        <v>1.5753975128208244</v>
      </c>
      <c r="E112" s="24">
        <f>INDEX('IDF Distributions'!$A$1:$AB$290,MATCH('Bulk Tool'!$A112,'IDF Distributions'!$A$1:$A$290,0),MATCH('Bulk Tool'!E$5,'IDF Distributions'!$A$1:$AB$1,0))*INDEX($N$5:$N$11,MATCH(E$6,$L$5:$L$11,0))*IF($E$2="Depth (mm)",(1),IF($E$2="Intensity (mm/hr)",12,0))</f>
        <v>1.9024264077666311</v>
      </c>
      <c r="F112" s="24">
        <f>INDEX('IDF Distributions'!$A$1:$AB$290,MATCH('Bulk Tool'!$A112,'IDF Distributions'!$A$1:$A$290,0),MATCH('Bulk Tool'!F$5,'IDF Distributions'!$A$1:$AB$1,0))*INDEX($N$5:$N$11,MATCH(F$6,$L$5:$L$11,0))*IF($E$2="Depth (mm)",(1),IF($E$2="Intensity (mm/hr)",12,0))</f>
        <v>2.1605426328405732</v>
      </c>
      <c r="G112" s="24">
        <f>INDEX('IDF Distributions'!$A$1:$AB$290,MATCH('Bulk Tool'!$A112,'IDF Distributions'!$A$1:$A$290,0),MATCH('Bulk Tool'!G$5,'IDF Distributions'!$A$1:$AB$1,0))*INDEX($N$5:$N$11,MATCH(G$6,$L$5:$L$11,0))*IF($E$2="Depth (mm)",(1),IF($E$2="Intensity (mm/hr)",12,0))</f>
        <v>2.4334625672727634</v>
      </c>
      <c r="H112" s="24">
        <f>INDEX('IDF Distributions'!$A$1:$AB$290,MATCH('Bulk Tool'!$A112,'IDF Distributions'!$A$1:$A$290,0),MATCH('Bulk Tool'!H$5,'IDF Distributions'!$A$1:$AB$1,0))*INDEX($N$5:$N$11,MATCH(H$6,$L$5:$L$11,0))*IF($E$2="Depth (mm)",(1),IF($E$2="Intensity (mm/hr)",12,0))</f>
        <v>2.7253328576897586</v>
      </c>
      <c r="I112" s="12" t="str">
        <f>IF(COUNTIF($H$7:H112,$H$7)&gt;1,"Do Not Copy","Copy")</f>
        <v>Copy</v>
      </c>
      <c r="L112"/>
      <c r="M112" s="2"/>
    </row>
    <row r="113" spans="1:13" x14ac:dyDescent="0.25">
      <c r="A113" s="128">
        <f t="shared" si="4"/>
        <v>0.36805555555555475</v>
      </c>
      <c r="B113" s="24">
        <f>INDEX('IDF Distributions'!$A$1:$AB$290,MATCH('Bulk Tool'!$A113,'IDF Distributions'!$A$1:$A$290,0),MATCH('Bulk Tool'!B$5,'IDF Distributions'!$A$1:$AB$1,0))*INDEX($N$5:$N$11,MATCH(B$6,$L$5:$L$11,0))*IF($E$2="Depth (mm)",(1),IF($E$2="Intensity (mm/hr)",12,0))</f>
        <v>0.9537451502701082</v>
      </c>
      <c r="C113" s="24">
        <f>INDEX('IDF Distributions'!$A$1:$AB$290,MATCH('Bulk Tool'!$A113,'IDF Distributions'!$A$1:$A$290,0),MATCH('Bulk Tool'!C$5,'IDF Distributions'!$A$1:$AB$1,0))*INDEX($N$5:$N$11,MATCH(C$6,$L$5:$L$11,0))*IF($E$2="Depth (mm)",(1),IF($E$2="Intensity (mm/hr)",12,0))</f>
        <v>1.2717853156873324</v>
      </c>
      <c r="D113" s="24">
        <f>INDEX('IDF Distributions'!$A$1:$AB$290,MATCH('Bulk Tool'!$A113,'IDF Distributions'!$A$1:$A$290,0),MATCH('Bulk Tool'!D$5,'IDF Distributions'!$A$1:$AB$1,0))*INDEX($N$5:$N$11,MATCH(D$6,$L$5:$L$11,0))*IF($E$2="Depth (mm)",(1),IF($E$2="Intensity (mm/hr)",12,0))</f>
        <v>1.4976001047803236</v>
      </c>
      <c r="E113" s="24">
        <f>INDEX('IDF Distributions'!$A$1:$AB$290,MATCH('Bulk Tool'!$A113,'IDF Distributions'!$A$1:$A$290,0),MATCH('Bulk Tool'!E$5,'IDF Distributions'!$A$1:$AB$1,0))*INDEX($N$5:$N$11,MATCH(E$6,$L$5:$L$11,0))*IF($E$2="Depth (mm)",(1),IF($E$2="Intensity (mm/hr)",12,0))</f>
        <v>1.8084794246670848</v>
      </c>
      <c r="F113" s="24">
        <f>INDEX('IDF Distributions'!$A$1:$AB$290,MATCH('Bulk Tool'!$A113,'IDF Distributions'!$A$1:$A$290,0),MATCH('Bulk Tool'!F$5,'IDF Distributions'!$A$1:$AB$1,0))*INDEX($N$5:$N$11,MATCH(F$6,$L$5:$L$11,0))*IF($E$2="Depth (mm)",(1),IF($E$2="Intensity (mm/hr)",12,0))</f>
        <v>2.053849169490467</v>
      </c>
      <c r="G113" s="24">
        <f>INDEX('IDF Distributions'!$A$1:$AB$290,MATCH('Bulk Tool'!$A113,'IDF Distributions'!$A$1:$A$290,0),MATCH('Bulk Tool'!G$5,'IDF Distributions'!$A$1:$AB$1,0))*INDEX($N$5:$N$11,MATCH(G$6,$L$5:$L$11,0))*IF($E$2="Depth (mm)",(1),IF($E$2="Intensity (mm/hr)",12,0))</f>
        <v>2.3132915762963826</v>
      </c>
      <c r="H113" s="24">
        <f>INDEX('IDF Distributions'!$A$1:$AB$290,MATCH('Bulk Tool'!$A113,'IDF Distributions'!$A$1:$A$290,0),MATCH('Bulk Tool'!H$5,'IDF Distributions'!$A$1:$AB$1,0))*INDEX($N$5:$N$11,MATCH(H$6,$L$5:$L$11,0))*IF($E$2="Depth (mm)",(1),IF($E$2="Intensity (mm/hr)",12,0))</f>
        <v>2.5907485190384705</v>
      </c>
      <c r="I113" s="12" t="str">
        <f>IF(COUNTIF($H$7:H113,$H$7)&gt;1,"Do Not Copy","Copy")</f>
        <v>Copy</v>
      </c>
      <c r="L113"/>
      <c r="M113" s="2"/>
    </row>
    <row r="114" spans="1:13" x14ac:dyDescent="0.25">
      <c r="A114" s="128">
        <f t="shared" si="4"/>
        <v>0.37152777777777696</v>
      </c>
      <c r="B114" s="24">
        <f>INDEX('IDF Distributions'!$A$1:$AB$290,MATCH('Bulk Tool'!$A114,'IDF Distributions'!$A$1:$A$290,0),MATCH('Bulk Tool'!B$5,'IDF Distributions'!$A$1:$AB$1,0))*INDEX($N$5:$N$11,MATCH(B$6,$L$5:$L$11,0))*IF($E$2="Depth (mm)",(1),IF($E$2="Intensity (mm/hr)",12,0))</f>
        <v>0.90419994765866352</v>
      </c>
      <c r="C114" s="24">
        <f>INDEX('IDF Distributions'!$A$1:$AB$290,MATCH('Bulk Tool'!$A114,'IDF Distributions'!$A$1:$A$290,0),MATCH('Bulk Tool'!C$5,'IDF Distributions'!$A$1:$AB$1,0))*INDEX($N$5:$N$11,MATCH(C$6,$L$5:$L$11,0))*IF($E$2="Depth (mm)",(1),IF($E$2="Intensity (mm/hr)",12,0))</f>
        <v>1.2057185460412234</v>
      </c>
      <c r="D114" s="24">
        <f>INDEX('IDF Distributions'!$A$1:$AB$290,MATCH('Bulk Tool'!$A114,'IDF Distributions'!$A$1:$A$290,0),MATCH('Bulk Tool'!D$5,'IDF Distributions'!$A$1:$AB$1,0))*INDEX($N$5:$N$11,MATCH(D$6,$L$5:$L$11,0))*IF($E$2="Depth (mm)",(1),IF($E$2="Intensity (mm/hr)",12,0))</f>
        <v>1.4198026967397706</v>
      </c>
      <c r="E114" s="24">
        <f>INDEX('IDF Distributions'!$A$1:$AB$290,MATCH('Bulk Tool'!$A114,'IDF Distributions'!$A$1:$A$290,0),MATCH('Bulk Tool'!E$5,'IDF Distributions'!$A$1:$AB$1,0))*INDEX($N$5:$N$11,MATCH(E$6,$L$5:$L$11,0))*IF($E$2="Depth (mm)",(1),IF($E$2="Intensity (mm/hr)",12,0))</f>
        <v>1.7145324415674761</v>
      </c>
      <c r="F114" s="24">
        <f>INDEX('IDF Distributions'!$A$1:$AB$290,MATCH('Bulk Tool'!$A114,'IDF Distributions'!$A$1:$A$290,0),MATCH('Bulk Tool'!F$5,'IDF Distributions'!$A$1:$AB$1,0))*INDEX($N$5:$N$11,MATCH(F$6,$L$5:$L$11,0))*IF($E$2="Depth (mm)",(1),IF($E$2="Intensity (mm/hr)",12,0))</f>
        <v>1.9471557061402902</v>
      </c>
      <c r="G114" s="24">
        <f>INDEX('IDF Distributions'!$A$1:$AB$290,MATCH('Bulk Tool'!$A114,'IDF Distributions'!$A$1:$A$290,0),MATCH('Bulk Tool'!G$5,'IDF Distributions'!$A$1:$AB$1,0))*INDEX($N$5:$N$11,MATCH(G$6,$L$5:$L$11,0))*IF($E$2="Depth (mm)",(1),IF($E$2="Intensity (mm/hr)",12,0))</f>
        <v>2.1931205853199218</v>
      </c>
      <c r="H114" s="24">
        <f>INDEX('IDF Distributions'!$A$1:$AB$290,MATCH('Bulk Tool'!$A114,'IDF Distributions'!$A$1:$A$290,0),MATCH('Bulk Tool'!H$5,'IDF Distributions'!$A$1:$AB$1,0))*INDEX($N$5:$N$11,MATCH(H$6,$L$5:$L$11,0))*IF($E$2="Depth (mm)",(1),IF($E$2="Intensity (mm/hr)",12,0))</f>
        <v>2.4561641803870931</v>
      </c>
      <c r="I114" s="12" t="str">
        <f>IF(COUNTIF($H$7:H114,$H$7)&gt;1,"Do Not Copy","Copy")</f>
        <v>Copy</v>
      </c>
      <c r="L114"/>
      <c r="M114" s="2"/>
    </row>
    <row r="115" spans="1:13" x14ac:dyDescent="0.25">
      <c r="A115" s="128">
        <f t="shared" si="4"/>
        <v>0.37499999999999917</v>
      </c>
      <c r="B115" s="24">
        <f>INDEX('IDF Distributions'!$A$1:$AB$290,MATCH('Bulk Tool'!$A115,'IDF Distributions'!$A$1:$A$290,0),MATCH('Bulk Tool'!B$5,'IDF Distributions'!$A$1:$AB$1,0))*INDEX($N$5:$N$11,MATCH(B$6,$L$5:$L$11,0))*IF($E$2="Depth (mm)",(1),IF($E$2="Intensity (mm/hr)",12,0))</f>
        <v>0.85713200517780685</v>
      </c>
      <c r="C115" s="24">
        <f>INDEX('IDF Distributions'!$A$1:$AB$290,MATCH('Bulk Tool'!$A115,'IDF Distributions'!$A$1:$A$290,0),MATCH('Bulk Tool'!C$5,'IDF Distributions'!$A$1:$AB$1,0))*INDEX($N$5:$N$11,MATCH(C$6,$L$5:$L$11,0))*IF($E$2="Depth (mm)",(1),IF($E$2="Intensity (mm/hr)",12,0))</f>
        <v>1.1429551148774404</v>
      </c>
      <c r="D115" s="24">
        <f>INDEX('IDF Distributions'!$A$1:$AB$290,MATCH('Bulk Tool'!$A115,'IDF Distributions'!$A$1:$A$290,0),MATCH('Bulk Tool'!D$5,'IDF Distributions'!$A$1:$AB$1,0))*INDEX($N$5:$N$11,MATCH(D$6,$L$5:$L$11,0))*IF($E$2="Depth (mm)",(1),IF($E$2="Intensity (mm/hr)",12,0))</f>
        <v>1.34589515910127</v>
      </c>
      <c r="E115" s="24">
        <f>INDEX('IDF Distributions'!$A$1:$AB$290,MATCH('Bulk Tool'!$A115,'IDF Distributions'!$A$1:$A$290,0),MATCH('Bulk Tool'!E$5,'IDF Distributions'!$A$1:$AB$1,0))*INDEX($N$5:$N$11,MATCH(E$6,$L$5:$L$11,0))*IF($E$2="Depth (mm)",(1),IF($E$2="Intensity (mm/hr)",12,0))</f>
        <v>1.6252828076228776</v>
      </c>
      <c r="F115" s="24">
        <f>INDEX('IDF Distributions'!$A$1:$AB$290,MATCH('Bulk Tool'!$A115,'IDF Distributions'!$A$1:$A$290,0),MATCH('Bulk Tool'!F$5,'IDF Distributions'!$A$1:$AB$1,0))*INDEX($N$5:$N$11,MATCH(F$6,$L$5:$L$11,0))*IF($E$2="Depth (mm)",(1),IF($E$2="Intensity (mm/hr)",12,0))</f>
        <v>1.8457969159576564</v>
      </c>
      <c r="G115" s="24">
        <f>INDEX('IDF Distributions'!$A$1:$AB$290,MATCH('Bulk Tool'!$A115,'IDF Distributions'!$A$1:$A$290,0),MATCH('Bulk Tool'!G$5,'IDF Distributions'!$A$1:$AB$1,0))*INDEX($N$5:$N$11,MATCH(G$6,$L$5:$L$11,0))*IF($E$2="Depth (mm)",(1),IF($E$2="Intensity (mm/hr)",12,0))</f>
        <v>2.0789581438923217</v>
      </c>
      <c r="H115" s="24">
        <f>INDEX('IDF Distributions'!$A$1:$AB$290,MATCH('Bulk Tool'!$A115,'IDF Distributions'!$A$1:$A$290,0),MATCH('Bulk Tool'!H$5,'IDF Distributions'!$A$1:$AB$1,0))*INDEX($N$5:$N$11,MATCH(H$6,$L$5:$L$11,0))*IF($E$2="Depth (mm)",(1),IF($E$2="Intensity (mm/hr)",12,0))</f>
        <v>2.328309058668327</v>
      </c>
      <c r="I115" s="12" t="str">
        <f>IF(COUNTIF($H$7:H115,$H$7)&gt;1,"Do Not Copy","Copy")</f>
        <v>Copy</v>
      </c>
      <c r="L115"/>
      <c r="M115" s="2"/>
    </row>
    <row r="116" spans="1:13" x14ac:dyDescent="0.25">
      <c r="A116" s="128">
        <f t="shared" si="4"/>
        <v>0.37847222222222138</v>
      </c>
      <c r="B116" s="24">
        <f>INDEX('IDF Distributions'!$A$1:$AB$290,MATCH('Bulk Tool'!$A116,'IDF Distributions'!$A$1:$A$290,0),MATCH('Bulk Tool'!B$5,'IDF Distributions'!$A$1:$AB$1,0))*INDEX($N$5:$N$11,MATCH(B$6,$L$5:$L$11,0))*IF($E$2="Depth (mm)",(1),IF($E$2="Intensity (mm/hr)",12,0))</f>
        <v>0.81749584308864776</v>
      </c>
      <c r="C116" s="24">
        <f>INDEX('IDF Distributions'!$A$1:$AB$290,MATCH('Bulk Tool'!$A116,'IDF Distributions'!$A$1:$A$290,0),MATCH('Bulk Tool'!C$5,'IDF Distributions'!$A$1:$AB$1,0))*INDEX($N$5:$N$11,MATCH(C$6,$L$5:$L$11,0))*IF($E$2="Depth (mm)",(1),IF($E$2="Intensity (mm/hr)",12,0))</f>
        <v>1.0901016991605488</v>
      </c>
      <c r="D116" s="24">
        <f>INDEX('IDF Distributions'!$A$1:$AB$290,MATCH('Bulk Tool'!$A116,'IDF Distributions'!$A$1:$A$290,0),MATCH('Bulk Tool'!D$5,'IDF Distributions'!$A$1:$AB$1,0))*INDEX($N$5:$N$11,MATCH(D$6,$L$5:$L$11,0))*IF($E$2="Depth (mm)",(1),IF($E$2="Intensity (mm/hr)",12,0))</f>
        <v>1.2836572326688227</v>
      </c>
      <c r="E116" s="24">
        <f>INDEX('IDF Distributions'!$A$1:$AB$290,MATCH('Bulk Tool'!$A116,'IDF Distributions'!$A$1:$A$290,0),MATCH('Bulk Tool'!E$5,'IDF Distributions'!$A$1:$AB$1,0))*INDEX($N$5:$N$11,MATCH(E$6,$L$5:$L$11,0))*IF($E$2="Depth (mm)",(1),IF($E$2="Intensity (mm/hr)",12,0))</f>
        <v>1.5501252211431844</v>
      </c>
      <c r="F116" s="24">
        <f>INDEX('IDF Distributions'!$A$1:$AB$290,MATCH('Bulk Tool'!$A116,'IDF Distributions'!$A$1:$A$290,0),MATCH('Bulk Tool'!F$5,'IDF Distributions'!$A$1:$AB$1,0))*INDEX($N$5:$N$11,MATCH(F$6,$L$5:$L$11,0))*IF($E$2="Depth (mm)",(1),IF($E$2="Intensity (mm/hr)",12,0))</f>
        <v>1.7604421452775079</v>
      </c>
      <c r="G116" s="24">
        <f>INDEX('IDF Distributions'!$A$1:$AB$290,MATCH('Bulk Tool'!$A116,'IDF Distributions'!$A$1:$A$290,0),MATCH('Bulk Tool'!G$5,'IDF Distributions'!$A$1:$AB$1,0))*INDEX($N$5:$N$11,MATCH(G$6,$L$5:$L$11,0))*IF($E$2="Depth (mm)",(1),IF($E$2="Intensity (mm/hr)",12,0))</f>
        <v>1.9828213511111452</v>
      </c>
      <c r="H116" s="24">
        <f>INDEX('IDF Distributions'!$A$1:$AB$290,MATCH('Bulk Tool'!$A116,'IDF Distributions'!$A$1:$A$290,0),MATCH('Bulk Tool'!H$5,'IDF Distributions'!$A$1:$AB$1,0))*INDEX($N$5:$N$11,MATCH(H$6,$L$5:$L$11,0))*IF($E$2="Depth (mm)",(1),IF($E$2="Intensity (mm/hr)",12,0))</f>
        <v>2.2206415877472159</v>
      </c>
      <c r="I116" s="12" t="str">
        <f>IF(COUNTIF($H$7:H116,$H$7)&gt;1,"Do Not Copy","Copy")</f>
        <v>Copy</v>
      </c>
      <c r="L116"/>
      <c r="M116" s="2"/>
    </row>
    <row r="117" spans="1:13" x14ac:dyDescent="0.25">
      <c r="A117" s="128">
        <f t="shared" si="4"/>
        <v>0.38194444444444359</v>
      </c>
      <c r="B117" s="24">
        <f>INDEX('IDF Distributions'!$A$1:$AB$290,MATCH('Bulk Tool'!$A117,'IDF Distributions'!$A$1:$A$290,0),MATCH('Bulk Tool'!B$5,'IDF Distributions'!$A$1:$AB$1,0))*INDEX($N$5:$N$11,MATCH(B$6,$L$5:$L$11,0))*IF($E$2="Depth (mm)",(1),IF($E$2="Intensity (mm/hr)",12,0))</f>
        <v>0.78033694113009311</v>
      </c>
      <c r="C117" s="24">
        <f>INDEX('IDF Distributions'!$A$1:$AB$290,MATCH('Bulk Tool'!$A117,'IDF Distributions'!$A$1:$A$290,0),MATCH('Bulk Tool'!C$5,'IDF Distributions'!$A$1:$AB$1,0))*INDEX($N$5:$N$11,MATCH(C$6,$L$5:$L$11,0))*IF($E$2="Depth (mm)",(1),IF($E$2="Intensity (mm/hr)",12,0))</f>
        <v>1.0405516219260054</v>
      </c>
      <c r="D117" s="24">
        <f>INDEX('IDF Distributions'!$A$1:$AB$290,MATCH('Bulk Tool'!$A117,'IDF Distributions'!$A$1:$A$290,0),MATCH('Bulk Tool'!D$5,'IDF Distributions'!$A$1:$AB$1,0))*INDEX($N$5:$N$11,MATCH(D$6,$L$5:$L$11,0))*IF($E$2="Depth (mm)",(1),IF($E$2="Intensity (mm/hr)",12,0))</f>
        <v>1.2253091766384536</v>
      </c>
      <c r="E117" s="24">
        <f>INDEX('IDF Distributions'!$A$1:$AB$290,MATCH('Bulk Tool'!$A117,'IDF Distributions'!$A$1:$A$290,0),MATCH('Bulk Tool'!E$5,'IDF Distributions'!$A$1:$AB$1,0))*INDEX($N$5:$N$11,MATCH(E$6,$L$5:$L$11,0))*IF($E$2="Depth (mm)",(1),IF($E$2="Intensity (mm/hr)",12,0))</f>
        <v>1.4796649838185325</v>
      </c>
      <c r="F117" s="24">
        <f>INDEX('IDF Distributions'!$A$1:$AB$290,MATCH('Bulk Tool'!$A117,'IDF Distributions'!$A$1:$A$290,0),MATCH('Bulk Tool'!F$5,'IDF Distributions'!$A$1:$AB$1,0))*INDEX($N$5:$N$11,MATCH(F$6,$L$5:$L$11,0))*IF($E$2="Depth (mm)",(1),IF($E$2="Intensity (mm/hr)",12,0))</f>
        <v>1.6804220477649374</v>
      </c>
      <c r="G117" s="24">
        <f>INDEX('IDF Distributions'!$A$1:$AB$290,MATCH('Bulk Tool'!$A117,'IDF Distributions'!$A$1:$A$290,0),MATCH('Bulk Tool'!G$5,'IDF Distributions'!$A$1:$AB$1,0))*INDEX($N$5:$N$11,MATCH(G$6,$L$5:$L$11,0))*IF($E$2="Depth (mm)",(1),IF($E$2="Intensity (mm/hr)",12,0))</f>
        <v>1.8926931078788696</v>
      </c>
      <c r="H117" s="24">
        <f>INDEX('IDF Distributions'!$A$1:$AB$290,MATCH('Bulk Tool'!$A117,'IDF Distributions'!$A$1:$A$290,0),MATCH('Bulk Tool'!H$5,'IDF Distributions'!$A$1:$AB$1,0))*INDEX($N$5:$N$11,MATCH(H$6,$L$5:$L$11,0))*IF($E$2="Depth (mm)",(1),IF($E$2="Intensity (mm/hr)",12,0))</f>
        <v>2.119703333758761</v>
      </c>
      <c r="I117" s="12" t="str">
        <f>IF(COUNTIF($H$7:H117,$H$7)&gt;1,"Do Not Copy","Copy")</f>
        <v>Copy</v>
      </c>
      <c r="L117"/>
      <c r="M117" s="2"/>
    </row>
    <row r="118" spans="1:13" x14ac:dyDescent="0.25">
      <c r="A118" s="128">
        <f t="shared" si="4"/>
        <v>0.3854166666666658</v>
      </c>
      <c r="B118" s="24">
        <f>INDEX('IDF Distributions'!$A$1:$AB$290,MATCH('Bulk Tool'!$A118,'IDF Distributions'!$A$1:$A$290,0),MATCH('Bulk Tool'!B$5,'IDF Distributions'!$A$1:$AB$1,0))*INDEX($N$5:$N$11,MATCH(B$6,$L$5:$L$11,0))*IF($E$2="Depth (mm)",(1),IF($E$2="Intensity (mm/hr)",12,0))</f>
        <v>0.75060981956321959</v>
      </c>
      <c r="C118" s="24">
        <f>INDEX('IDF Distributions'!$A$1:$AB$290,MATCH('Bulk Tool'!$A118,'IDF Distributions'!$A$1:$A$290,0),MATCH('Bulk Tool'!C$5,'IDF Distributions'!$A$1:$AB$1,0))*INDEX($N$5:$N$11,MATCH(C$6,$L$5:$L$11,0))*IF($E$2="Depth (mm)",(1),IF($E$2="Intensity (mm/hr)",12,0))</f>
        <v>1.0009115601383312</v>
      </c>
      <c r="D118" s="24">
        <f>INDEX('IDF Distributions'!$A$1:$AB$290,MATCH('Bulk Tool'!$A118,'IDF Distributions'!$A$1:$A$290,0),MATCH('Bulk Tool'!D$5,'IDF Distributions'!$A$1:$AB$1,0))*INDEX($N$5:$N$11,MATCH(D$6,$L$5:$L$11,0))*IF($E$2="Depth (mm)",(1),IF($E$2="Intensity (mm/hr)",12,0))</f>
        <v>1.1786307318141116</v>
      </c>
      <c r="E118" s="24">
        <f>INDEX('IDF Distributions'!$A$1:$AB$290,MATCH('Bulk Tool'!$A118,'IDF Distributions'!$A$1:$A$290,0),MATCH('Bulk Tool'!E$5,'IDF Distributions'!$A$1:$AB$1,0))*INDEX($N$5:$N$11,MATCH(E$6,$L$5:$L$11,0))*IF($E$2="Depth (mm)",(1),IF($E$2="Intensity (mm/hr)",12,0))</f>
        <v>1.4232967939587549</v>
      </c>
      <c r="F118" s="24">
        <f>INDEX('IDF Distributions'!$A$1:$AB$290,MATCH('Bulk Tool'!$A118,'IDF Distributions'!$A$1:$A$290,0),MATCH('Bulk Tool'!F$5,'IDF Distributions'!$A$1:$AB$1,0))*INDEX($N$5:$N$11,MATCH(F$6,$L$5:$L$11,0))*IF($E$2="Depth (mm)",(1),IF($E$2="Intensity (mm/hr)",12,0))</f>
        <v>1.616405969754817</v>
      </c>
      <c r="G118" s="24">
        <f>INDEX('IDF Distributions'!$A$1:$AB$290,MATCH('Bulk Tool'!$A118,'IDF Distributions'!$A$1:$A$290,0),MATCH('Bulk Tool'!G$5,'IDF Distributions'!$A$1:$AB$1,0))*INDEX($N$5:$N$11,MATCH(G$6,$L$5:$L$11,0))*IF($E$2="Depth (mm)",(1),IF($E$2="Intensity (mm/hr)",12,0))</f>
        <v>1.8205905132929767</v>
      </c>
      <c r="H118" s="24">
        <f>INDEX('IDF Distributions'!$A$1:$AB$290,MATCH('Bulk Tool'!$A118,'IDF Distributions'!$A$1:$A$290,0),MATCH('Bulk Tool'!H$5,'IDF Distributions'!$A$1:$AB$1,0))*INDEX($N$5:$N$11,MATCH(H$6,$L$5:$L$11,0))*IF($E$2="Depth (mm)",(1),IF($E$2="Intensity (mm/hr)",12,0))</f>
        <v>2.0389527305679165</v>
      </c>
      <c r="I118" s="12" t="str">
        <f>IF(COUNTIF($H$7:H118,$H$7)&gt;1,"Do Not Copy","Copy")</f>
        <v>Copy</v>
      </c>
      <c r="L118"/>
      <c r="M118" s="2"/>
    </row>
    <row r="119" spans="1:13" x14ac:dyDescent="0.25">
      <c r="A119" s="128">
        <f t="shared" si="4"/>
        <v>0.38888888888888801</v>
      </c>
      <c r="B119" s="24">
        <f>INDEX('IDF Distributions'!$A$1:$AB$290,MATCH('Bulk Tool'!$A119,'IDF Distributions'!$A$1:$A$290,0),MATCH('Bulk Tool'!B$5,'IDF Distributions'!$A$1:$AB$1,0))*INDEX($N$5:$N$11,MATCH(B$6,$L$5:$L$11,0))*IF($E$2="Depth (mm)",(1),IF($E$2="Intensity (mm/hr)",12,0))</f>
        <v>0.7208826979963463</v>
      </c>
      <c r="C119" s="24">
        <f>INDEX('IDF Distributions'!$A$1:$AB$290,MATCH('Bulk Tool'!$A119,'IDF Distributions'!$A$1:$A$290,0),MATCH('Bulk Tool'!C$5,'IDF Distributions'!$A$1:$AB$1,0))*INDEX($N$5:$N$11,MATCH(C$6,$L$5:$L$11,0))*IF($E$2="Depth (mm)",(1),IF($E$2="Intensity (mm/hr)",12,0))</f>
        <v>0.96127149835065673</v>
      </c>
      <c r="D119" s="24">
        <f>INDEX('IDF Distributions'!$A$1:$AB$290,MATCH('Bulk Tool'!$A119,'IDF Distributions'!$A$1:$A$290,0),MATCH('Bulk Tool'!D$5,'IDF Distributions'!$A$1:$AB$1,0))*INDEX($N$5:$N$11,MATCH(D$6,$L$5:$L$11,0))*IF($E$2="Depth (mm)",(1),IF($E$2="Intensity (mm/hr)",12,0))</f>
        <v>1.1319522869897694</v>
      </c>
      <c r="E119" s="24">
        <f>INDEX('IDF Distributions'!$A$1:$AB$290,MATCH('Bulk Tool'!$A119,'IDF Distributions'!$A$1:$A$290,0),MATCH('Bulk Tool'!E$5,'IDF Distributions'!$A$1:$AB$1,0))*INDEX($N$5:$N$11,MATCH(E$6,$L$5:$L$11,0))*IF($E$2="Depth (mm)",(1),IF($E$2="Intensity (mm/hr)",12,0))</f>
        <v>1.3669286040989772</v>
      </c>
      <c r="F119" s="24">
        <f>INDEX('IDF Distributions'!$A$1:$AB$290,MATCH('Bulk Tool'!$A119,'IDF Distributions'!$A$1:$A$290,0),MATCH('Bulk Tool'!F$5,'IDF Distributions'!$A$1:$AB$1,0))*INDEX($N$5:$N$11,MATCH(F$6,$L$5:$L$11,0))*IF($E$2="Depth (mm)",(1),IF($E$2="Intensity (mm/hr)",12,0))</f>
        <v>1.5523898917446968</v>
      </c>
      <c r="G119" s="24">
        <f>INDEX('IDF Distributions'!$A$1:$AB$290,MATCH('Bulk Tool'!$A119,'IDF Distributions'!$A$1:$A$290,0),MATCH('Bulk Tool'!G$5,'IDF Distributions'!$A$1:$AB$1,0))*INDEX($N$5:$N$11,MATCH(G$6,$L$5:$L$11,0))*IF($E$2="Depth (mm)",(1),IF($E$2="Intensity (mm/hr)",12,0))</f>
        <v>1.7484879187070841</v>
      </c>
      <c r="H119" s="24">
        <f>INDEX('IDF Distributions'!$A$1:$AB$290,MATCH('Bulk Tool'!$A119,'IDF Distributions'!$A$1:$A$290,0),MATCH('Bulk Tool'!H$5,'IDF Distributions'!$A$1:$AB$1,0))*INDEX($N$5:$N$11,MATCH(H$6,$L$5:$L$11,0))*IF($E$2="Depth (mm)",(1),IF($E$2="Intensity (mm/hr)",12,0))</f>
        <v>1.958202127377072</v>
      </c>
      <c r="I119" s="12" t="str">
        <f>IF(COUNTIF($H$7:H119,$H$7)&gt;1,"Do Not Copy","Copy")</f>
        <v>Copy</v>
      </c>
      <c r="L119"/>
      <c r="M119" s="2"/>
    </row>
    <row r="120" spans="1:13" x14ac:dyDescent="0.25">
      <c r="A120" s="128">
        <f t="shared" si="4"/>
        <v>0.39236111111111022</v>
      </c>
      <c r="B120" s="24">
        <f>INDEX('IDF Distributions'!$A$1:$AB$290,MATCH('Bulk Tool'!$A120,'IDF Distributions'!$A$1:$A$290,0),MATCH('Bulk Tool'!B$5,'IDF Distributions'!$A$1:$AB$1,0))*INDEX($N$5:$N$11,MATCH(B$6,$L$5:$L$11,0))*IF($E$2="Depth (mm)",(1),IF($E$2="Intensity (mm/hr)",12,0))</f>
        <v>0.69115557642950587</v>
      </c>
      <c r="C120" s="24">
        <f>INDEX('IDF Distributions'!$A$1:$AB$290,MATCH('Bulk Tool'!$A120,'IDF Distributions'!$A$1:$A$290,0),MATCH('Bulk Tool'!C$5,'IDF Distributions'!$A$1:$AB$1,0))*INDEX($N$5:$N$11,MATCH(C$6,$L$5:$L$11,0))*IF($E$2="Depth (mm)",(1),IF($E$2="Intensity (mm/hr)",12,0))</f>
        <v>0.92163143656302626</v>
      </c>
      <c r="D120" s="24">
        <f>INDEX('IDF Distributions'!$A$1:$AB$290,MATCH('Bulk Tool'!$A120,'IDF Distributions'!$A$1:$A$290,0),MATCH('Bulk Tool'!D$5,'IDF Distributions'!$A$1:$AB$1,0))*INDEX($N$5:$N$11,MATCH(D$6,$L$5:$L$11,0))*IF($E$2="Depth (mm)",(1),IF($E$2="Intensity (mm/hr)",12,0))</f>
        <v>1.0852738421654793</v>
      </c>
      <c r="E120" s="24">
        <f>INDEX('IDF Distributions'!$A$1:$AB$290,MATCH('Bulk Tool'!$A120,'IDF Distributions'!$A$1:$A$290,0),MATCH('Bulk Tool'!E$5,'IDF Distributions'!$A$1:$AB$1,0))*INDEX($N$5:$N$11,MATCH(E$6,$L$5:$L$11,0))*IF($E$2="Depth (mm)",(1),IF($E$2="Intensity (mm/hr)",12,0))</f>
        <v>1.3105604142392617</v>
      </c>
      <c r="F120" s="24">
        <f>INDEX('IDF Distributions'!$A$1:$AB$290,MATCH('Bulk Tool'!$A120,'IDF Distributions'!$A$1:$A$290,0),MATCH('Bulk Tool'!F$5,'IDF Distributions'!$A$1:$AB$1,0))*INDEX($N$5:$N$11,MATCH(F$6,$L$5:$L$11,0))*IF($E$2="Depth (mm)",(1),IF($E$2="Intensity (mm/hr)",12,0))</f>
        <v>1.4883738137346476</v>
      </c>
      <c r="G120" s="24">
        <f>INDEX('IDF Distributions'!$A$1:$AB$290,MATCH('Bulk Tool'!$A120,'IDF Distributions'!$A$1:$A$290,0),MATCH('Bulk Tool'!G$5,'IDF Distributions'!$A$1:$AB$1,0))*INDEX($N$5:$N$11,MATCH(G$6,$L$5:$L$11,0))*IF($E$2="Depth (mm)",(1),IF($E$2="Intensity (mm/hr)",12,0))</f>
        <v>1.6763853241212716</v>
      </c>
      <c r="H120" s="24">
        <f>INDEX('IDF Distributions'!$A$1:$AB$290,MATCH('Bulk Tool'!$A120,'IDF Distributions'!$A$1:$A$290,0),MATCH('Bulk Tool'!H$5,'IDF Distributions'!$A$1:$AB$1,0))*INDEX($N$5:$N$11,MATCH(H$6,$L$5:$L$11,0))*IF($E$2="Depth (mm)",(1),IF($E$2="Intensity (mm/hr)",12,0))</f>
        <v>1.8774515241863172</v>
      </c>
      <c r="I120" s="12" t="str">
        <f>IF(COUNTIF($H$7:H120,$H$7)&gt;1,"Do Not Copy","Copy")</f>
        <v>Copy</v>
      </c>
      <c r="L120"/>
      <c r="M120" s="2"/>
    </row>
    <row r="121" spans="1:13" x14ac:dyDescent="0.25">
      <c r="A121" s="128">
        <f t="shared" si="4"/>
        <v>0.39583333333333243</v>
      </c>
      <c r="B121" s="24">
        <f>INDEX('IDF Distributions'!$A$1:$AB$290,MATCH('Bulk Tool'!$A121,'IDF Distributions'!$A$1:$A$290,0),MATCH('Bulk Tool'!B$5,'IDF Distributions'!$A$1:$AB$1,0))*INDEX($N$5:$N$11,MATCH(B$6,$L$5:$L$11,0))*IF($E$2="Depth (mm)",(1),IF($E$2="Intensity (mm/hr)",12,0))</f>
        <v>0.67381475551550596</v>
      </c>
      <c r="C121" s="24">
        <f>INDEX('IDF Distributions'!$A$1:$AB$290,MATCH('Bulk Tool'!$A121,'IDF Distributions'!$A$1:$A$290,0),MATCH('Bulk Tool'!C$5,'IDF Distributions'!$A$1:$AB$1,0))*INDEX($N$5:$N$11,MATCH(C$6,$L$5:$L$11,0))*IF($E$2="Depth (mm)",(1),IF($E$2="Intensity (mm/hr)",12,0))</f>
        <v>0.8985080671868958</v>
      </c>
      <c r="D121" s="24">
        <f>INDEX('IDF Distributions'!$A$1:$AB$290,MATCH('Bulk Tool'!$A121,'IDF Distributions'!$A$1:$A$290,0),MATCH('Bulk Tool'!D$5,'IDF Distributions'!$A$1:$AB$1,0))*INDEX($N$5:$N$11,MATCH(D$6,$L$5:$L$11,0))*IF($E$2="Depth (mm)",(1),IF($E$2="Intensity (mm/hr)",12,0))</f>
        <v>1.058044749351295</v>
      </c>
      <c r="E121" s="24">
        <f>INDEX('IDF Distributions'!$A$1:$AB$290,MATCH('Bulk Tool'!$A121,'IDF Distributions'!$A$1:$A$290,0),MATCH('Bulk Tool'!E$5,'IDF Distributions'!$A$1:$AB$1,0))*INDEX($N$5:$N$11,MATCH(E$6,$L$5:$L$11,0))*IF($E$2="Depth (mm)",(1),IF($E$2="Intensity (mm/hr)",12,0))</f>
        <v>1.2776789701544098</v>
      </c>
      <c r="F121" s="24">
        <f>INDEX('IDF Distributions'!$A$1:$AB$290,MATCH('Bulk Tool'!$A121,'IDF Distributions'!$A$1:$A$290,0),MATCH('Bulk Tool'!F$5,'IDF Distributions'!$A$1:$AB$1,0))*INDEX($N$5:$N$11,MATCH(F$6,$L$5:$L$11,0))*IF($E$2="Depth (mm)",(1),IF($E$2="Intensity (mm/hr)",12,0))</f>
        <v>1.4510311015620982</v>
      </c>
      <c r="G121" s="24">
        <f>INDEX('IDF Distributions'!$A$1:$AB$290,MATCH('Bulk Tool'!$A121,'IDF Distributions'!$A$1:$A$290,0),MATCH('Bulk Tool'!G$5,'IDF Distributions'!$A$1:$AB$1,0))*INDEX($N$5:$N$11,MATCH(G$6,$L$5:$L$11,0))*IF($E$2="Depth (mm)",(1),IF($E$2="Intensity (mm/hr)",12,0))</f>
        <v>1.6343254772795246</v>
      </c>
      <c r="H121" s="24">
        <f>INDEX('IDF Distributions'!$A$1:$AB$290,MATCH('Bulk Tool'!$A121,'IDF Distributions'!$A$1:$A$290,0),MATCH('Bulk Tool'!H$5,'IDF Distributions'!$A$1:$AB$1,0))*INDEX($N$5:$N$11,MATCH(H$6,$L$5:$L$11,0))*IF($E$2="Depth (mm)",(1),IF($E$2="Intensity (mm/hr)",12,0))</f>
        <v>1.8303470056583506</v>
      </c>
      <c r="I121" s="12" t="str">
        <f>IF(COUNTIF($H$7:H121,$H$7)&gt;1,"Do Not Copy","Copy")</f>
        <v>Copy</v>
      </c>
      <c r="L121"/>
      <c r="M121" s="2"/>
    </row>
    <row r="122" spans="1:13" x14ac:dyDescent="0.25">
      <c r="A122" s="128">
        <f t="shared" si="4"/>
        <v>0.39930555555555464</v>
      </c>
      <c r="B122" s="24">
        <f>INDEX('IDF Distributions'!$A$1:$AB$290,MATCH('Bulk Tool'!$A122,'IDF Distributions'!$A$1:$A$290,0),MATCH('Bulk Tool'!B$5,'IDF Distributions'!$A$1:$AB$1,0))*INDEX($N$5:$N$11,MATCH(B$6,$L$5:$L$11,0))*IF($E$2="Depth (mm)",(1),IF($E$2="Intensity (mm/hr)",12,0))</f>
        <v>0.69363283656006081</v>
      </c>
      <c r="C122" s="24">
        <f>INDEX('IDF Distributions'!$A$1:$AB$290,MATCH('Bulk Tool'!$A122,'IDF Distributions'!$A$1:$A$290,0),MATCH('Bulk Tool'!C$5,'IDF Distributions'!$A$1:$AB$1,0))*INDEX($N$5:$N$11,MATCH(C$6,$L$5:$L$11,0))*IF($E$2="Depth (mm)",(1),IF($E$2="Intensity (mm/hr)",12,0))</f>
        <v>0.92493477504530874</v>
      </c>
      <c r="D122" s="24">
        <f>INDEX('IDF Distributions'!$A$1:$AB$290,MATCH('Bulk Tool'!$A122,'IDF Distributions'!$A$1:$A$290,0),MATCH('Bulk Tool'!D$5,'IDF Distributions'!$A$1:$AB$1,0))*INDEX($N$5:$N$11,MATCH(D$6,$L$5:$L$11,0))*IF($E$2="Depth (mm)",(1),IF($E$2="Intensity (mm/hr)",12,0))</f>
        <v>1.0891637125674798</v>
      </c>
      <c r="E122" s="24">
        <f>INDEX('IDF Distributions'!$A$1:$AB$290,MATCH('Bulk Tool'!$A122,'IDF Distributions'!$A$1:$A$290,0),MATCH('Bulk Tool'!E$5,'IDF Distributions'!$A$1:$AB$1,0))*INDEX($N$5:$N$11,MATCH(E$6,$L$5:$L$11,0))*IF($E$2="Depth (mm)",(1),IF($E$2="Intensity (mm/hr)",12,0))</f>
        <v>1.3152577633942095</v>
      </c>
      <c r="F122" s="24">
        <f>INDEX('IDF Distributions'!$A$1:$AB$290,MATCH('Bulk Tool'!$A122,'IDF Distributions'!$A$1:$A$290,0),MATCH('Bulk Tool'!F$5,'IDF Distributions'!$A$1:$AB$1,0))*INDEX($N$5:$N$11,MATCH(F$6,$L$5:$L$11,0))*IF($E$2="Depth (mm)",(1),IF($E$2="Intensity (mm/hr)",12,0))</f>
        <v>1.4937084869021191</v>
      </c>
      <c r="G122" s="24">
        <f>INDEX('IDF Distributions'!$A$1:$AB$290,MATCH('Bulk Tool'!$A122,'IDF Distributions'!$A$1:$A$290,0),MATCH('Bulk Tool'!G$5,'IDF Distributions'!$A$1:$AB$1,0))*INDEX($N$5:$N$11,MATCH(G$6,$L$5:$L$11,0))*IF($E$2="Depth (mm)",(1),IF($E$2="Intensity (mm/hr)",12,0))</f>
        <v>1.682393873670053</v>
      </c>
      <c r="H122" s="24">
        <f>INDEX('IDF Distributions'!$A$1:$AB$290,MATCH('Bulk Tool'!$A122,'IDF Distributions'!$A$1:$A$290,0),MATCH('Bulk Tool'!H$5,'IDF Distributions'!$A$1:$AB$1,0))*INDEX($N$5:$N$11,MATCH(H$6,$L$5:$L$11,0))*IF($E$2="Depth (mm)",(1),IF($E$2="Intensity (mm/hr)",12,0))</f>
        <v>1.8841807411188389</v>
      </c>
      <c r="I122" s="12" t="str">
        <f>IF(COUNTIF($H$7:H122,$H$7)&gt;1,"Do Not Copy","Copy")</f>
        <v>Copy</v>
      </c>
      <c r="L122"/>
      <c r="M122" s="2"/>
    </row>
    <row r="123" spans="1:13" x14ac:dyDescent="0.25">
      <c r="A123" s="128">
        <f t="shared" si="4"/>
        <v>0.40277777777777685</v>
      </c>
      <c r="B123" s="24">
        <f>INDEX('IDF Distributions'!$A$1:$AB$290,MATCH('Bulk Tool'!$A123,'IDF Distributions'!$A$1:$A$290,0),MATCH('Bulk Tool'!B$5,'IDF Distributions'!$A$1:$AB$1,0))*INDEX($N$5:$N$11,MATCH(B$6,$L$5:$L$11,0))*IF($E$2="Depth (mm)",(1),IF($E$2="Intensity (mm/hr)",12,0))</f>
        <v>0.69363283656007724</v>
      </c>
      <c r="C123" s="24">
        <f>INDEX('IDF Distributions'!$A$1:$AB$290,MATCH('Bulk Tool'!$A123,'IDF Distributions'!$A$1:$A$290,0),MATCH('Bulk Tool'!C$5,'IDF Distributions'!$A$1:$AB$1,0))*INDEX($N$5:$N$11,MATCH(C$6,$L$5:$L$11,0))*IF($E$2="Depth (mm)",(1),IF($E$2="Intensity (mm/hr)",12,0))</f>
        <v>0.92493477504533073</v>
      </c>
      <c r="D123" s="24">
        <f>INDEX('IDF Distributions'!$A$1:$AB$290,MATCH('Bulk Tool'!$A123,'IDF Distributions'!$A$1:$A$290,0),MATCH('Bulk Tool'!D$5,'IDF Distributions'!$A$1:$AB$1,0))*INDEX($N$5:$N$11,MATCH(D$6,$L$5:$L$11,0))*IF($E$2="Depth (mm)",(1),IF($E$2="Intensity (mm/hr)",12,0))</f>
        <v>1.0891637125675055</v>
      </c>
      <c r="E123" s="24">
        <f>INDEX('IDF Distributions'!$A$1:$AB$290,MATCH('Bulk Tool'!$A123,'IDF Distributions'!$A$1:$A$290,0),MATCH('Bulk Tool'!E$5,'IDF Distributions'!$A$1:$AB$1,0))*INDEX($N$5:$N$11,MATCH(E$6,$L$5:$L$11,0))*IF($E$2="Depth (mm)",(1),IF($E$2="Intensity (mm/hr)",12,0))</f>
        <v>1.3152577633942408</v>
      </c>
      <c r="F123" s="24">
        <f>INDEX('IDF Distributions'!$A$1:$AB$290,MATCH('Bulk Tool'!$A123,'IDF Distributions'!$A$1:$A$290,0),MATCH('Bulk Tool'!F$5,'IDF Distributions'!$A$1:$AB$1,0))*INDEX($N$5:$N$11,MATCH(F$6,$L$5:$L$11,0))*IF($E$2="Depth (mm)",(1),IF($E$2="Intensity (mm/hr)",12,0))</f>
        <v>1.4937084869021549</v>
      </c>
      <c r="G123" s="24">
        <f>INDEX('IDF Distributions'!$A$1:$AB$290,MATCH('Bulk Tool'!$A123,'IDF Distributions'!$A$1:$A$290,0),MATCH('Bulk Tool'!G$5,'IDF Distributions'!$A$1:$AB$1,0))*INDEX($N$5:$N$11,MATCH(G$6,$L$5:$L$11,0))*IF($E$2="Depth (mm)",(1),IF($E$2="Intensity (mm/hr)",12,0))</f>
        <v>1.682393873670093</v>
      </c>
      <c r="H123" s="24">
        <f>INDEX('IDF Distributions'!$A$1:$AB$290,MATCH('Bulk Tool'!$A123,'IDF Distributions'!$A$1:$A$290,0),MATCH('Bulk Tool'!H$5,'IDF Distributions'!$A$1:$AB$1,0))*INDEX($N$5:$N$11,MATCH(H$6,$L$5:$L$11,0))*IF($E$2="Depth (mm)",(1),IF($E$2="Intensity (mm/hr)",12,0))</f>
        <v>1.8841807411188838</v>
      </c>
      <c r="I123" s="12" t="str">
        <f>IF(COUNTIF($H$7:H123,$H$7)&gt;1,"Do Not Copy","Copy")</f>
        <v>Copy</v>
      </c>
      <c r="L123"/>
      <c r="M123" s="2"/>
    </row>
    <row r="124" spans="1:13" x14ac:dyDescent="0.25">
      <c r="A124" s="128">
        <f t="shared" si="4"/>
        <v>0.40624999999999906</v>
      </c>
      <c r="B124" s="24">
        <f>INDEX('IDF Distributions'!$A$1:$AB$290,MATCH('Bulk Tool'!$A124,'IDF Distributions'!$A$1:$A$290,0),MATCH('Bulk Tool'!B$5,'IDF Distributions'!$A$1:$AB$1,0))*INDEX($N$5:$N$11,MATCH(B$6,$L$5:$L$11,0))*IF($E$2="Depth (mm)",(1),IF($E$2="Intensity (mm/hr)",12,0))</f>
        <v>0.67381475551548942</v>
      </c>
      <c r="C124" s="24">
        <f>INDEX('IDF Distributions'!$A$1:$AB$290,MATCH('Bulk Tool'!$A124,'IDF Distributions'!$A$1:$A$290,0),MATCH('Bulk Tool'!C$5,'IDF Distributions'!$A$1:$AB$1,0))*INDEX($N$5:$N$11,MATCH(C$6,$L$5:$L$11,0))*IF($E$2="Depth (mm)",(1),IF($E$2="Intensity (mm/hr)",12,0))</f>
        <v>0.89850806718687382</v>
      </c>
      <c r="D124" s="24">
        <f>INDEX('IDF Distributions'!$A$1:$AB$290,MATCH('Bulk Tool'!$A124,'IDF Distributions'!$A$1:$A$290,0),MATCH('Bulk Tool'!D$5,'IDF Distributions'!$A$1:$AB$1,0))*INDEX($N$5:$N$11,MATCH(D$6,$L$5:$L$11,0))*IF($E$2="Depth (mm)",(1),IF($E$2="Intensity (mm/hr)",12,0))</f>
        <v>1.0580447493512688</v>
      </c>
      <c r="E124" s="24">
        <f>INDEX('IDF Distributions'!$A$1:$AB$290,MATCH('Bulk Tool'!$A124,'IDF Distributions'!$A$1:$A$290,0),MATCH('Bulk Tool'!E$5,'IDF Distributions'!$A$1:$AB$1,0))*INDEX($N$5:$N$11,MATCH(E$6,$L$5:$L$11,0))*IF($E$2="Depth (mm)",(1),IF($E$2="Intensity (mm/hr)",12,0))</f>
        <v>1.2776789701543785</v>
      </c>
      <c r="F124" s="24">
        <f>INDEX('IDF Distributions'!$A$1:$AB$290,MATCH('Bulk Tool'!$A124,'IDF Distributions'!$A$1:$A$290,0),MATCH('Bulk Tool'!F$5,'IDF Distributions'!$A$1:$AB$1,0))*INDEX($N$5:$N$11,MATCH(F$6,$L$5:$L$11,0))*IF($E$2="Depth (mm)",(1),IF($E$2="Intensity (mm/hr)",12,0))</f>
        <v>1.4510311015620627</v>
      </c>
      <c r="G124" s="24">
        <f>INDEX('IDF Distributions'!$A$1:$AB$290,MATCH('Bulk Tool'!$A124,'IDF Distributions'!$A$1:$A$290,0),MATCH('Bulk Tool'!G$5,'IDF Distributions'!$A$1:$AB$1,0))*INDEX($N$5:$N$11,MATCH(G$6,$L$5:$L$11,0))*IF($E$2="Depth (mm)",(1),IF($E$2="Intensity (mm/hr)",12,0))</f>
        <v>1.6343254772794844</v>
      </c>
      <c r="H124" s="24">
        <f>INDEX('IDF Distributions'!$A$1:$AB$290,MATCH('Bulk Tool'!$A124,'IDF Distributions'!$A$1:$A$290,0),MATCH('Bulk Tool'!H$5,'IDF Distributions'!$A$1:$AB$1,0))*INDEX($N$5:$N$11,MATCH(H$6,$L$5:$L$11,0))*IF($E$2="Depth (mm)",(1),IF($E$2="Intensity (mm/hr)",12,0))</f>
        <v>1.8303470056583055</v>
      </c>
      <c r="I124" s="12" t="str">
        <f>IF(COUNTIF($H$7:H124,$H$7)&gt;1,"Do Not Copy","Copy")</f>
        <v>Copy</v>
      </c>
      <c r="L124"/>
      <c r="M124" s="2"/>
    </row>
    <row r="125" spans="1:13" x14ac:dyDescent="0.25">
      <c r="A125" s="128">
        <f t="shared" si="4"/>
        <v>0.40972222222222127</v>
      </c>
      <c r="B125" s="24">
        <f>INDEX('IDF Distributions'!$A$1:$AB$290,MATCH('Bulk Tool'!$A125,'IDF Distributions'!$A$1:$A$290,0),MATCH('Bulk Tool'!B$5,'IDF Distributions'!$A$1:$AB$1,0))*INDEX($N$5:$N$11,MATCH(B$6,$L$5:$L$11,0))*IF($E$2="Depth (mm)",(1),IF($E$2="Intensity (mm/hr)",12,0))</f>
        <v>0.65399667447091825</v>
      </c>
      <c r="C125" s="24">
        <f>INDEX('IDF Distributions'!$A$1:$AB$290,MATCH('Bulk Tool'!$A125,'IDF Distributions'!$A$1:$A$290,0),MATCH('Bulk Tool'!C$5,'IDF Distributions'!$A$1:$AB$1,0))*INDEX($N$5:$N$11,MATCH(C$6,$L$5:$L$11,0))*IF($E$2="Depth (mm)",(1),IF($E$2="Intensity (mm/hr)",12,0))</f>
        <v>0.87208135932843911</v>
      </c>
      <c r="D125" s="24">
        <f>INDEX('IDF Distributions'!$A$1:$AB$290,MATCH('Bulk Tool'!$A125,'IDF Distributions'!$A$1:$A$290,0),MATCH('Bulk Tool'!D$5,'IDF Distributions'!$A$1:$AB$1,0))*INDEX($N$5:$N$11,MATCH(D$6,$L$5:$L$11,0))*IF($E$2="Depth (mm)",(1),IF($E$2="Intensity (mm/hr)",12,0))</f>
        <v>1.0269257861350582</v>
      </c>
      <c r="E125" s="24">
        <f>INDEX('IDF Distributions'!$A$1:$AB$290,MATCH('Bulk Tool'!$A125,'IDF Distributions'!$A$1:$A$290,0),MATCH('Bulk Tool'!E$5,'IDF Distributions'!$A$1:$AB$1,0))*INDEX($N$5:$N$11,MATCH(E$6,$L$5:$L$11,0))*IF($E$2="Depth (mm)",(1),IF($E$2="Intensity (mm/hr)",12,0))</f>
        <v>1.2401001769145474</v>
      </c>
      <c r="F125" s="24">
        <f>INDEX('IDF Distributions'!$A$1:$AB$290,MATCH('Bulk Tool'!$A125,'IDF Distributions'!$A$1:$A$290,0),MATCH('Bulk Tool'!F$5,'IDF Distributions'!$A$1:$AB$1,0))*INDEX($N$5:$N$11,MATCH(F$6,$L$5:$L$11,0))*IF($E$2="Depth (mm)",(1),IF($E$2="Intensity (mm/hr)",12,0))</f>
        <v>1.4083537162220061</v>
      </c>
      <c r="G125" s="24">
        <f>INDEX('IDF Distributions'!$A$1:$AB$290,MATCH('Bulk Tool'!$A125,'IDF Distributions'!$A$1:$A$290,0),MATCH('Bulk Tool'!G$5,'IDF Distributions'!$A$1:$AB$1,0))*INDEX($N$5:$N$11,MATCH(G$6,$L$5:$L$11,0))*IF($E$2="Depth (mm)",(1),IF($E$2="Intensity (mm/hr)",12,0))</f>
        <v>1.586257080888916</v>
      </c>
      <c r="H125" s="24">
        <f>INDEX('IDF Distributions'!$A$1:$AB$290,MATCH('Bulk Tool'!$A125,'IDF Distributions'!$A$1:$A$290,0),MATCH('Bulk Tool'!H$5,'IDF Distributions'!$A$1:$AB$1,0))*INDEX($N$5:$N$11,MATCH(H$6,$L$5:$L$11,0))*IF($E$2="Depth (mm)",(1),IF($E$2="Intensity (mm/hr)",12,0))</f>
        <v>1.7765132701977726</v>
      </c>
      <c r="I125" s="12" t="str">
        <f>IF(COUNTIF($H$7:H125,$H$7)&gt;1,"Do Not Copy","Copy")</f>
        <v>Copy</v>
      </c>
      <c r="L125"/>
      <c r="M125" s="2"/>
    </row>
    <row r="126" spans="1:13" x14ac:dyDescent="0.25">
      <c r="A126" s="128">
        <f t="shared" si="4"/>
        <v>0.41319444444444348</v>
      </c>
      <c r="B126" s="24">
        <f>INDEX('IDF Distributions'!$A$1:$AB$290,MATCH('Bulk Tool'!$A126,'IDF Distributions'!$A$1:$A$290,0),MATCH('Bulk Tool'!B$5,'IDF Distributions'!$A$1:$AB$1,0))*INDEX($N$5:$N$11,MATCH(B$6,$L$5:$L$11,0))*IF($E$2="Depth (mm)",(1),IF($E$2="Intensity (mm/hr)",12,0))</f>
        <v>0.64408763394864899</v>
      </c>
      <c r="C126" s="24">
        <f>INDEX('IDF Distributions'!$A$1:$AB$290,MATCH('Bulk Tool'!$A126,'IDF Distributions'!$A$1:$A$290,0),MATCH('Bulk Tool'!C$5,'IDF Distributions'!$A$1:$AB$1,0))*INDEX($N$5:$N$11,MATCH(C$6,$L$5:$L$11,0))*IF($E$2="Depth (mm)",(1),IF($E$2="Intensity (mm/hr)",12,0))</f>
        <v>0.85886800539924357</v>
      </c>
      <c r="D126" s="24">
        <f>INDEX('IDF Distributions'!$A$1:$AB$290,MATCH('Bulk Tool'!$A126,'IDF Distributions'!$A$1:$A$290,0),MATCH('Bulk Tool'!D$5,'IDF Distributions'!$A$1:$AB$1,0))*INDEX($N$5:$N$11,MATCH(D$6,$L$5:$L$11,0))*IF($E$2="Depth (mm)",(1),IF($E$2="Intensity (mm/hr)",12,0))</f>
        <v>1.0113663045269787</v>
      </c>
      <c r="E126" s="24">
        <f>INDEX('IDF Distributions'!$A$1:$AB$290,MATCH('Bulk Tool'!$A126,'IDF Distributions'!$A$1:$A$290,0),MATCH('Bulk Tool'!E$5,'IDF Distributions'!$A$1:$AB$1,0))*INDEX($N$5:$N$11,MATCH(E$6,$L$5:$L$11,0))*IF($E$2="Depth (mm)",(1),IF($E$2="Intensity (mm/hr)",12,0))</f>
        <v>1.2213107802946634</v>
      </c>
      <c r="F126" s="24">
        <f>INDEX('IDF Distributions'!$A$1:$AB$290,MATCH('Bulk Tool'!$A126,'IDF Distributions'!$A$1:$A$290,0),MATCH('Bulk Tool'!F$5,'IDF Distributions'!$A$1:$AB$1,0))*INDEX($N$5:$N$11,MATCH(F$6,$L$5:$L$11,0))*IF($E$2="Depth (mm)",(1),IF($E$2="Intensity (mm/hr)",12,0))</f>
        <v>1.3870150235520136</v>
      </c>
      <c r="G126" s="24">
        <f>INDEX('IDF Distributions'!$A$1:$AB$290,MATCH('Bulk Tool'!$A126,'IDF Distributions'!$A$1:$A$290,0),MATCH('Bulk Tool'!G$5,'IDF Distributions'!$A$1:$AB$1,0))*INDEX($N$5:$N$11,MATCH(G$6,$L$5:$L$11,0))*IF($E$2="Depth (mm)",(1),IF($E$2="Intensity (mm/hr)",12,0))</f>
        <v>1.5622228826936722</v>
      </c>
      <c r="H126" s="24">
        <f>INDEX('IDF Distributions'!$A$1:$AB$290,MATCH('Bulk Tool'!$A126,'IDF Distributions'!$A$1:$A$290,0),MATCH('Bulk Tool'!H$5,'IDF Distributions'!$A$1:$AB$1,0))*INDEX($N$5:$N$11,MATCH(H$6,$L$5:$L$11,0))*IF($E$2="Depth (mm)",(1),IF($E$2="Intensity (mm/hr)",12,0))</f>
        <v>1.7495964024675508</v>
      </c>
      <c r="I126" s="12" t="str">
        <f>IF(COUNTIF($H$7:H126,$H$7)&gt;1,"Do Not Copy","Copy")</f>
        <v>Copy</v>
      </c>
      <c r="L126"/>
      <c r="M126" s="2"/>
    </row>
    <row r="127" spans="1:13" x14ac:dyDescent="0.25">
      <c r="A127" s="128">
        <f t="shared" si="4"/>
        <v>0.41666666666666569</v>
      </c>
      <c r="B127" s="24">
        <f>INDEX('IDF Distributions'!$A$1:$AB$290,MATCH('Bulk Tool'!$A127,'IDF Distributions'!$A$1:$A$290,0),MATCH('Bulk Tool'!B$5,'IDF Distributions'!$A$1:$AB$1,0))*INDEX($N$5:$N$11,MATCH(B$6,$L$5:$L$11,0))*IF($E$2="Depth (mm)",(1),IF($E$2="Intensity (mm/hr)",12,0))</f>
        <v>0.63913311368748982</v>
      </c>
      <c r="C127" s="24">
        <f>INDEX('IDF Distributions'!$A$1:$AB$290,MATCH('Bulk Tool'!$A127,'IDF Distributions'!$A$1:$A$290,0),MATCH('Bulk Tool'!C$5,'IDF Distributions'!$A$1:$AB$1,0))*INDEX($N$5:$N$11,MATCH(C$6,$L$5:$L$11,0))*IF($E$2="Depth (mm)",(1),IF($E$2="Intensity (mm/hr)",12,0))</f>
        <v>0.85226132843461277</v>
      </c>
      <c r="D127" s="24">
        <f>INDEX('IDF Distributions'!$A$1:$AB$290,MATCH('Bulk Tool'!$A127,'IDF Distributions'!$A$1:$A$290,0),MATCH('Bulk Tool'!D$5,'IDF Distributions'!$A$1:$AB$1,0))*INDEX($N$5:$N$11,MATCH(D$6,$L$5:$L$11,0))*IF($E$2="Depth (mm)",(1),IF($E$2="Intensity (mm/hr)",12,0))</f>
        <v>1.0035865637229002</v>
      </c>
      <c r="E127" s="24">
        <f>INDEX('IDF Distributions'!$A$1:$AB$290,MATCH('Bulk Tool'!$A127,'IDF Distributions'!$A$1:$A$290,0),MATCH('Bulk Tool'!E$5,'IDF Distributions'!$A$1:$AB$1,0))*INDEX($N$5:$N$11,MATCH(E$6,$L$5:$L$11,0))*IF($E$2="Depth (mm)",(1),IF($E$2="Intensity (mm/hr)",12,0))</f>
        <v>1.2119160819846742</v>
      </c>
      <c r="F127" s="24">
        <f>INDEX('IDF Distributions'!$A$1:$AB$290,MATCH('Bulk Tool'!$A127,'IDF Distributions'!$A$1:$A$290,0),MATCH('Bulk Tool'!F$5,'IDF Distributions'!$A$1:$AB$1,0))*INDEX($N$5:$N$11,MATCH(F$6,$L$5:$L$11,0))*IF($E$2="Depth (mm)",(1),IF($E$2="Intensity (mm/hr)",12,0))</f>
        <v>1.3763456772169638</v>
      </c>
      <c r="G127" s="24">
        <f>INDEX('IDF Distributions'!$A$1:$AB$290,MATCH('Bulk Tool'!$A127,'IDF Distributions'!$A$1:$A$290,0),MATCH('Bulk Tool'!G$5,'IDF Distributions'!$A$1:$AB$1,0))*INDEX($N$5:$N$11,MATCH(G$6,$L$5:$L$11,0))*IF($E$2="Depth (mm)",(1),IF($E$2="Intensity (mm/hr)",12,0))</f>
        <v>1.5502057835959899</v>
      </c>
      <c r="H127" s="24">
        <f>INDEX('IDF Distributions'!$A$1:$AB$290,MATCH('Bulk Tool'!$A127,'IDF Distributions'!$A$1:$A$290,0),MATCH('Bulk Tool'!H$5,'IDF Distributions'!$A$1:$AB$1,0))*INDEX($N$5:$N$11,MATCH(H$6,$L$5:$L$11,0))*IF($E$2="Depth (mm)",(1),IF($E$2="Intensity (mm/hr)",12,0))</f>
        <v>1.7361379686023728</v>
      </c>
      <c r="I127" s="12" t="str">
        <f>IF(COUNTIF($H$7:H127,$H$7)&gt;1,"Do Not Copy","Copy")</f>
        <v>Copy</v>
      </c>
      <c r="L127"/>
      <c r="M127" s="2"/>
    </row>
    <row r="128" spans="1:13" x14ac:dyDescent="0.25">
      <c r="A128" s="128">
        <f t="shared" si="4"/>
        <v>0.4201388888888879</v>
      </c>
      <c r="B128" s="24">
        <f>INDEX('IDF Distributions'!$A$1:$AB$290,MATCH('Bulk Tool'!$A128,'IDF Distributions'!$A$1:$A$290,0),MATCH('Bulk Tool'!B$5,'IDF Distributions'!$A$1:$AB$1,0))*INDEX($N$5:$N$11,MATCH(B$6,$L$5:$L$11,0))*IF($E$2="Depth (mm)",(1),IF($E$2="Intensity (mm/hr)",12,0))</f>
        <v>0.61931503264291843</v>
      </c>
      <c r="C128" s="24">
        <f>INDEX('IDF Distributions'!$A$1:$AB$290,MATCH('Bulk Tool'!$A128,'IDF Distributions'!$A$1:$A$290,0),MATCH('Bulk Tool'!C$5,'IDF Distributions'!$A$1:$AB$1,0))*INDEX($N$5:$N$11,MATCH(C$6,$L$5:$L$11,0))*IF($E$2="Depth (mm)",(1),IF($E$2="Intensity (mm/hr)",12,0))</f>
        <v>0.82583462057617796</v>
      </c>
      <c r="D128" s="24">
        <f>INDEX('IDF Distributions'!$A$1:$AB$290,MATCH('Bulk Tool'!$A128,'IDF Distributions'!$A$1:$A$290,0),MATCH('Bulk Tool'!D$5,'IDF Distributions'!$A$1:$AB$1,0))*INDEX($N$5:$N$11,MATCH(D$6,$L$5:$L$11,0))*IF($E$2="Depth (mm)",(1),IF($E$2="Intensity (mm/hr)",12,0))</f>
        <v>0.97246760050668946</v>
      </c>
      <c r="E128" s="24">
        <f>INDEX('IDF Distributions'!$A$1:$AB$290,MATCH('Bulk Tool'!$A128,'IDF Distributions'!$A$1:$A$290,0),MATCH('Bulk Tool'!E$5,'IDF Distributions'!$A$1:$AB$1,0))*INDEX($N$5:$N$11,MATCH(E$6,$L$5:$L$11,0))*IF($E$2="Depth (mm)",(1),IF($E$2="Intensity (mm/hr)",12,0))</f>
        <v>1.1743372887448433</v>
      </c>
      <c r="F128" s="24">
        <f>INDEX('IDF Distributions'!$A$1:$AB$290,MATCH('Bulk Tool'!$A128,'IDF Distributions'!$A$1:$A$290,0),MATCH('Bulk Tool'!F$5,'IDF Distributions'!$A$1:$AB$1,0))*INDEX($N$5:$N$11,MATCH(F$6,$L$5:$L$11,0))*IF($E$2="Depth (mm)",(1),IF($E$2="Intensity (mm/hr)",12,0))</f>
        <v>1.3336682918769074</v>
      </c>
      <c r="G128" s="24">
        <f>INDEX('IDF Distributions'!$A$1:$AB$290,MATCH('Bulk Tool'!$A128,'IDF Distributions'!$A$1:$A$290,0),MATCH('Bulk Tool'!G$5,'IDF Distributions'!$A$1:$AB$1,0))*INDEX($N$5:$N$11,MATCH(G$6,$L$5:$L$11,0))*IF($E$2="Depth (mm)",(1),IF($E$2="Intensity (mm/hr)",12,0))</f>
        <v>1.5021373872054213</v>
      </c>
      <c r="H128" s="24">
        <f>INDEX('IDF Distributions'!$A$1:$AB$290,MATCH('Bulk Tool'!$A128,'IDF Distributions'!$A$1:$A$290,0),MATCH('Bulk Tool'!H$5,'IDF Distributions'!$A$1:$AB$1,0))*INDEX($N$5:$N$11,MATCH(H$6,$L$5:$L$11,0))*IF($E$2="Depth (mm)",(1),IF($E$2="Intensity (mm/hr)",12,0))</f>
        <v>1.6823042331418396</v>
      </c>
      <c r="I128" s="12" t="str">
        <f>IF(COUNTIF($H$7:H128,$H$7)&gt;1,"Do Not Copy","Copy")</f>
        <v>Copy</v>
      </c>
      <c r="L128"/>
      <c r="M128" s="2"/>
    </row>
    <row r="129" spans="1:13" x14ac:dyDescent="0.25">
      <c r="A129" s="128">
        <f t="shared" si="4"/>
        <v>0.42361111111111011</v>
      </c>
      <c r="B129" s="24">
        <f>INDEX('IDF Distributions'!$A$1:$AB$290,MATCH('Bulk Tool'!$A129,'IDF Distributions'!$A$1:$A$290,0),MATCH('Bulk Tool'!B$5,'IDF Distributions'!$A$1:$AB$1,0))*INDEX($N$5:$N$11,MATCH(B$6,$L$5:$L$11,0))*IF($E$2="Depth (mm)",(1),IF($E$2="Intensity (mm/hr)",12,0))</f>
        <v>0.59454243133720441</v>
      </c>
      <c r="C129" s="24">
        <f>INDEX('IDF Distributions'!$A$1:$AB$290,MATCH('Bulk Tool'!$A129,'IDF Distributions'!$A$1:$A$290,0),MATCH('Bulk Tool'!C$5,'IDF Distributions'!$A$1:$AB$1,0))*INDEX($N$5:$N$11,MATCH(C$6,$L$5:$L$11,0))*IF($E$2="Depth (mm)",(1),IF($E$2="Intensity (mm/hr)",12,0))</f>
        <v>0.79280123575313444</v>
      </c>
      <c r="D129" s="24">
        <f>INDEX('IDF Distributions'!$A$1:$AB$290,MATCH('Bulk Tool'!$A129,'IDF Distributions'!$A$1:$A$290,0),MATCH('Bulk Tool'!D$5,'IDF Distributions'!$A$1:$AB$1,0))*INDEX($N$5:$N$11,MATCH(D$6,$L$5:$L$11,0))*IF($E$2="Depth (mm)",(1),IF($E$2="Intensity (mm/hr)",12,0))</f>
        <v>0.93356889648642605</v>
      </c>
      <c r="E129" s="24">
        <f>INDEX('IDF Distributions'!$A$1:$AB$290,MATCH('Bulk Tool'!$A129,'IDF Distributions'!$A$1:$A$290,0),MATCH('Bulk Tool'!E$5,'IDF Distributions'!$A$1:$AB$1,0))*INDEX($N$5:$N$11,MATCH(E$6,$L$5:$L$11,0))*IF($E$2="Depth (mm)",(1),IF($E$2="Intensity (mm/hr)",12,0))</f>
        <v>1.1273637971950545</v>
      </c>
      <c r="F129" s="24">
        <f>INDEX('IDF Distributions'!$A$1:$AB$290,MATCH('Bulk Tool'!$A129,'IDF Distributions'!$A$1:$A$290,0),MATCH('Bulk Tool'!F$5,'IDF Distributions'!$A$1:$AB$1,0))*INDEX($N$5:$N$11,MATCH(F$6,$L$5:$L$11,0))*IF($E$2="Depth (mm)",(1),IF($E$2="Intensity (mm/hr)",12,0))</f>
        <v>1.2803215602018367</v>
      </c>
      <c r="G129" s="24">
        <f>INDEX('IDF Distributions'!$A$1:$AB$290,MATCH('Bulk Tool'!$A129,'IDF Distributions'!$A$1:$A$290,0),MATCH('Bulk Tool'!G$5,'IDF Distributions'!$A$1:$AB$1,0))*INDEX($N$5:$N$11,MATCH(G$6,$L$5:$L$11,0))*IF($E$2="Depth (mm)",(1),IF($E$2="Intensity (mm/hr)",12,0))</f>
        <v>1.4420518917172109</v>
      </c>
      <c r="H129" s="24">
        <f>INDEX('IDF Distributions'!$A$1:$AB$290,MATCH('Bulk Tool'!$A129,'IDF Distributions'!$A$1:$A$290,0),MATCH('Bulk Tool'!H$5,'IDF Distributions'!$A$1:$AB$1,0))*INDEX($N$5:$N$11,MATCH(H$6,$L$5:$L$11,0))*IF($E$2="Depth (mm)",(1),IF($E$2="Intensity (mm/hr)",12,0))</f>
        <v>1.6150120638161733</v>
      </c>
      <c r="I129" s="12" t="str">
        <f>IF(COUNTIF($H$7:H129,$H$7)&gt;1,"Do Not Copy","Copy")</f>
        <v>Copy</v>
      </c>
      <c r="L129"/>
      <c r="M129" s="2"/>
    </row>
    <row r="130" spans="1:13" x14ac:dyDescent="0.25">
      <c r="A130" s="128">
        <f t="shared" si="4"/>
        <v>0.42708333333333232</v>
      </c>
      <c r="B130" s="24">
        <f>INDEX('IDF Distributions'!$A$1:$AB$290,MATCH('Bulk Tool'!$A130,'IDF Distributions'!$A$1:$A$290,0),MATCH('Bulk Tool'!B$5,'IDF Distributions'!$A$1:$AB$1,0))*INDEX($N$5:$N$11,MATCH(B$6,$L$5:$L$11,0))*IF($E$2="Depth (mm)",(1),IF($E$2="Intensity (mm/hr)",12,0))</f>
        <v>0.59454243133720441</v>
      </c>
      <c r="C130" s="24">
        <f>INDEX('IDF Distributions'!$A$1:$AB$290,MATCH('Bulk Tool'!$A130,'IDF Distributions'!$A$1:$A$290,0),MATCH('Bulk Tool'!C$5,'IDF Distributions'!$A$1:$AB$1,0))*INDEX($N$5:$N$11,MATCH(C$6,$L$5:$L$11,0))*IF($E$2="Depth (mm)",(1),IF($E$2="Intensity (mm/hr)",12,0))</f>
        <v>0.79280123575313444</v>
      </c>
      <c r="D130" s="24">
        <f>INDEX('IDF Distributions'!$A$1:$AB$290,MATCH('Bulk Tool'!$A130,'IDF Distributions'!$A$1:$A$290,0),MATCH('Bulk Tool'!D$5,'IDF Distributions'!$A$1:$AB$1,0))*INDEX($N$5:$N$11,MATCH(D$6,$L$5:$L$11,0))*IF($E$2="Depth (mm)",(1),IF($E$2="Intensity (mm/hr)",12,0))</f>
        <v>0.93356889648642605</v>
      </c>
      <c r="E130" s="24">
        <f>INDEX('IDF Distributions'!$A$1:$AB$290,MATCH('Bulk Tool'!$A130,'IDF Distributions'!$A$1:$A$290,0),MATCH('Bulk Tool'!E$5,'IDF Distributions'!$A$1:$AB$1,0))*INDEX($N$5:$N$11,MATCH(E$6,$L$5:$L$11,0))*IF($E$2="Depth (mm)",(1),IF($E$2="Intensity (mm/hr)",12,0))</f>
        <v>1.1273637971950545</v>
      </c>
      <c r="F130" s="24">
        <f>INDEX('IDF Distributions'!$A$1:$AB$290,MATCH('Bulk Tool'!$A130,'IDF Distributions'!$A$1:$A$290,0),MATCH('Bulk Tool'!F$5,'IDF Distributions'!$A$1:$AB$1,0))*INDEX($N$5:$N$11,MATCH(F$6,$L$5:$L$11,0))*IF($E$2="Depth (mm)",(1),IF($E$2="Intensity (mm/hr)",12,0))</f>
        <v>1.2803215602018367</v>
      </c>
      <c r="G130" s="24">
        <f>INDEX('IDF Distributions'!$A$1:$AB$290,MATCH('Bulk Tool'!$A130,'IDF Distributions'!$A$1:$A$290,0),MATCH('Bulk Tool'!G$5,'IDF Distributions'!$A$1:$AB$1,0))*INDEX($N$5:$N$11,MATCH(G$6,$L$5:$L$11,0))*IF($E$2="Depth (mm)",(1),IF($E$2="Intensity (mm/hr)",12,0))</f>
        <v>1.4420518917172109</v>
      </c>
      <c r="H130" s="24">
        <f>INDEX('IDF Distributions'!$A$1:$AB$290,MATCH('Bulk Tool'!$A130,'IDF Distributions'!$A$1:$A$290,0),MATCH('Bulk Tool'!H$5,'IDF Distributions'!$A$1:$AB$1,0))*INDEX($N$5:$N$11,MATCH(H$6,$L$5:$L$11,0))*IF($E$2="Depth (mm)",(1),IF($E$2="Intensity (mm/hr)",12,0))</f>
        <v>1.6150120638161733</v>
      </c>
      <c r="I130" s="12" t="str">
        <f>IF(COUNTIF($H$7:H130,$H$7)&gt;1,"Do Not Copy","Copy")</f>
        <v>Copy</v>
      </c>
      <c r="L130"/>
      <c r="M130" s="2"/>
    </row>
    <row r="131" spans="1:13" x14ac:dyDescent="0.25">
      <c r="A131" s="128">
        <f t="shared" si="4"/>
        <v>0.43055555555555453</v>
      </c>
      <c r="B131" s="24">
        <f>INDEX('IDF Distributions'!$A$1:$AB$290,MATCH('Bulk Tool'!$A131,'IDF Distributions'!$A$1:$A$290,0),MATCH('Bulk Tool'!B$5,'IDF Distributions'!$A$1:$AB$1,0))*INDEX($N$5:$N$11,MATCH(B$6,$L$5:$L$11,0))*IF($E$2="Depth (mm)",(1),IF($E$2="Intensity (mm/hr)",12,0))</f>
        <v>0.59454243133722084</v>
      </c>
      <c r="C131" s="24">
        <f>INDEX('IDF Distributions'!$A$1:$AB$290,MATCH('Bulk Tool'!$A131,'IDF Distributions'!$A$1:$A$290,0),MATCH('Bulk Tool'!C$5,'IDF Distributions'!$A$1:$AB$1,0))*INDEX($N$5:$N$11,MATCH(C$6,$L$5:$L$11,0))*IF($E$2="Depth (mm)",(1),IF($E$2="Intensity (mm/hr)",12,0))</f>
        <v>0.79280123575315642</v>
      </c>
      <c r="D131" s="24">
        <f>INDEX('IDF Distributions'!$A$1:$AB$290,MATCH('Bulk Tool'!$A131,'IDF Distributions'!$A$1:$A$290,0),MATCH('Bulk Tool'!D$5,'IDF Distributions'!$A$1:$AB$1,0))*INDEX($N$5:$N$11,MATCH(D$6,$L$5:$L$11,0))*IF($E$2="Depth (mm)",(1),IF($E$2="Intensity (mm/hr)",12,0))</f>
        <v>0.93356889648645192</v>
      </c>
      <c r="E131" s="24">
        <f>INDEX('IDF Distributions'!$A$1:$AB$290,MATCH('Bulk Tool'!$A131,'IDF Distributions'!$A$1:$A$290,0),MATCH('Bulk Tool'!E$5,'IDF Distributions'!$A$1:$AB$1,0))*INDEX($N$5:$N$11,MATCH(E$6,$L$5:$L$11,0))*IF($E$2="Depth (mm)",(1),IF($E$2="Intensity (mm/hr)",12,0))</f>
        <v>1.1273637971950858</v>
      </c>
      <c r="F131" s="24">
        <f>INDEX('IDF Distributions'!$A$1:$AB$290,MATCH('Bulk Tool'!$A131,'IDF Distributions'!$A$1:$A$290,0),MATCH('Bulk Tool'!F$5,'IDF Distributions'!$A$1:$AB$1,0))*INDEX($N$5:$N$11,MATCH(F$6,$L$5:$L$11,0))*IF($E$2="Depth (mm)",(1),IF($E$2="Intensity (mm/hr)",12,0))</f>
        <v>1.2803215602018723</v>
      </c>
      <c r="G131" s="24">
        <f>INDEX('IDF Distributions'!$A$1:$AB$290,MATCH('Bulk Tool'!$A131,'IDF Distributions'!$A$1:$A$290,0),MATCH('Bulk Tool'!G$5,'IDF Distributions'!$A$1:$AB$1,0))*INDEX($N$5:$N$11,MATCH(G$6,$L$5:$L$11,0))*IF($E$2="Depth (mm)",(1),IF($E$2="Intensity (mm/hr)",12,0))</f>
        <v>1.4420518917172511</v>
      </c>
      <c r="H131" s="24">
        <f>INDEX('IDF Distributions'!$A$1:$AB$290,MATCH('Bulk Tool'!$A131,'IDF Distributions'!$A$1:$A$290,0),MATCH('Bulk Tool'!H$5,'IDF Distributions'!$A$1:$AB$1,0))*INDEX($N$5:$N$11,MATCH(H$6,$L$5:$L$11,0))*IF($E$2="Depth (mm)",(1),IF($E$2="Intensity (mm/hr)",12,0))</f>
        <v>1.615012063816218</v>
      </c>
      <c r="I131" s="12" t="str">
        <f>IF(COUNTIF($H$7:H131,$H$7)&gt;1,"Do Not Copy","Copy")</f>
        <v>Copy</v>
      </c>
      <c r="L131"/>
      <c r="M131" s="2"/>
    </row>
    <row r="132" spans="1:13" x14ac:dyDescent="0.25">
      <c r="A132" s="128">
        <f t="shared" si="4"/>
        <v>0.43402777777777674</v>
      </c>
      <c r="B132" s="24">
        <f>INDEX('IDF Distributions'!$A$1:$AB$290,MATCH('Bulk Tool'!$A132,'IDF Distributions'!$A$1:$A$290,0),MATCH('Bulk Tool'!B$5,'IDF Distributions'!$A$1:$AB$1,0))*INDEX($N$5:$N$11,MATCH(B$6,$L$5:$L$11,0))*IF($E$2="Depth (mm)",(1),IF($E$2="Intensity (mm/hr)",12,0))</f>
        <v>0.58463339081490218</v>
      </c>
      <c r="C132" s="24">
        <f>INDEX('IDF Distributions'!$A$1:$AB$290,MATCH('Bulk Tool'!$A132,'IDF Distributions'!$A$1:$A$290,0),MATCH('Bulk Tool'!C$5,'IDF Distributions'!$A$1:$AB$1,0))*INDEX($N$5:$N$11,MATCH(C$6,$L$5:$L$11,0))*IF($E$2="Depth (mm)",(1),IF($E$2="Intensity (mm/hr)",12,0))</f>
        <v>0.77958788182389505</v>
      </c>
      <c r="D132" s="24">
        <f>INDEX('IDF Distributions'!$A$1:$AB$290,MATCH('Bulk Tool'!$A132,'IDF Distributions'!$A$1:$A$290,0),MATCH('Bulk Tool'!D$5,'IDF Distributions'!$A$1:$AB$1,0))*INDEX($N$5:$N$11,MATCH(D$6,$L$5:$L$11,0))*IF($E$2="Depth (mm)",(1),IF($E$2="Intensity (mm/hr)",12,0))</f>
        <v>0.91800941487829468</v>
      </c>
      <c r="E132" s="24">
        <f>INDEX('IDF Distributions'!$A$1:$AB$290,MATCH('Bulk Tool'!$A132,'IDF Distributions'!$A$1:$A$290,0),MATCH('Bulk Tool'!E$5,'IDF Distributions'!$A$1:$AB$1,0))*INDEX($N$5:$N$11,MATCH(E$6,$L$5:$L$11,0))*IF($E$2="Depth (mm)",(1),IF($E$2="Intensity (mm/hr)",12,0))</f>
        <v>1.1085744005751077</v>
      </c>
      <c r="F132" s="24">
        <f>INDEX('IDF Distributions'!$A$1:$AB$290,MATCH('Bulk Tool'!$A132,'IDF Distributions'!$A$1:$A$290,0),MATCH('Bulk Tool'!F$5,'IDF Distributions'!$A$1:$AB$1,0))*INDEX($N$5:$N$11,MATCH(F$6,$L$5:$L$11,0))*IF($E$2="Depth (mm)",(1),IF($E$2="Intensity (mm/hr)",12,0))</f>
        <v>1.2589828675317729</v>
      </c>
      <c r="G132" s="24">
        <f>INDEX('IDF Distributions'!$A$1:$AB$290,MATCH('Bulk Tool'!$A132,'IDF Distributions'!$A$1:$A$290,0),MATCH('Bulk Tool'!G$5,'IDF Distributions'!$A$1:$AB$1,0))*INDEX($N$5:$N$11,MATCH(G$6,$L$5:$L$11,0))*IF($E$2="Depth (mm)",(1),IF($E$2="Intensity (mm/hr)",12,0))</f>
        <v>1.4180176935218869</v>
      </c>
      <c r="H132" s="24">
        <f>INDEX('IDF Distributions'!$A$1:$AB$290,MATCH('Bulk Tool'!$A132,'IDF Distributions'!$A$1:$A$290,0),MATCH('Bulk Tool'!H$5,'IDF Distributions'!$A$1:$AB$1,0))*INDEX($N$5:$N$11,MATCH(H$6,$L$5:$L$11,0))*IF($E$2="Depth (mm)",(1),IF($E$2="Intensity (mm/hr)",12,0))</f>
        <v>1.5880951960858618</v>
      </c>
      <c r="I132" s="12" t="str">
        <f>IF(COUNTIF($H$7:H132,$H$7)&gt;1,"Do Not Copy","Copy")</f>
        <v>Copy</v>
      </c>
      <c r="L132"/>
      <c r="M132" s="2"/>
    </row>
    <row r="133" spans="1:13" x14ac:dyDescent="0.25">
      <c r="A133" s="128">
        <f t="shared" si="4"/>
        <v>0.43749999999999895</v>
      </c>
      <c r="B133" s="24">
        <f>INDEX('IDF Distributions'!$A$1:$AB$290,MATCH('Bulk Tool'!$A133,'IDF Distributions'!$A$1:$A$290,0),MATCH('Bulk Tool'!B$5,'IDF Distributions'!$A$1:$AB$1,0))*INDEX($N$5:$N$11,MATCH(B$6,$L$5:$L$11,0))*IF($E$2="Depth (mm)",(1),IF($E$2="Intensity (mm/hr)",12,0))</f>
        <v>0.57472435029263313</v>
      </c>
      <c r="C133" s="24">
        <f>INDEX('IDF Distributions'!$A$1:$AB$290,MATCH('Bulk Tool'!$A133,'IDF Distributions'!$A$1:$A$290,0),MATCH('Bulk Tool'!C$5,'IDF Distributions'!$A$1:$AB$1,0))*INDEX($N$5:$N$11,MATCH(C$6,$L$5:$L$11,0))*IF($E$2="Depth (mm)",(1),IF($E$2="Intensity (mm/hr)",12,0))</f>
        <v>0.76637452789469951</v>
      </c>
      <c r="D133" s="24">
        <f>INDEX('IDF Distributions'!$A$1:$AB$290,MATCH('Bulk Tool'!$A133,'IDF Distributions'!$A$1:$A$290,0),MATCH('Bulk Tool'!D$5,'IDF Distributions'!$A$1:$AB$1,0))*INDEX($N$5:$N$11,MATCH(D$6,$L$5:$L$11,0))*IF($E$2="Depth (mm)",(1),IF($E$2="Intensity (mm/hr)",12,0))</f>
        <v>0.90244993327021517</v>
      </c>
      <c r="E133" s="24">
        <f>INDEX('IDF Distributions'!$A$1:$AB$290,MATCH('Bulk Tool'!$A133,'IDF Distributions'!$A$1:$A$290,0),MATCH('Bulk Tool'!E$5,'IDF Distributions'!$A$1:$AB$1,0))*INDEX($N$5:$N$11,MATCH(E$6,$L$5:$L$11,0))*IF($E$2="Depth (mm)",(1),IF($E$2="Intensity (mm/hr)",12,0))</f>
        <v>1.0897850039552237</v>
      </c>
      <c r="F133" s="24">
        <f>INDEX('IDF Distributions'!$A$1:$AB$290,MATCH('Bulk Tool'!$A133,'IDF Distributions'!$A$1:$A$290,0),MATCH('Bulk Tool'!F$5,'IDF Distributions'!$A$1:$AB$1,0))*INDEX($N$5:$N$11,MATCH(F$6,$L$5:$L$11,0))*IF($E$2="Depth (mm)",(1),IF($E$2="Intensity (mm/hr)",12,0))</f>
        <v>1.2376441748617804</v>
      </c>
      <c r="G133" s="24">
        <f>INDEX('IDF Distributions'!$A$1:$AB$290,MATCH('Bulk Tool'!$A133,'IDF Distributions'!$A$1:$A$290,0),MATCH('Bulk Tool'!G$5,'IDF Distributions'!$A$1:$AB$1,0))*INDEX($N$5:$N$11,MATCH(G$6,$L$5:$L$11,0))*IF($E$2="Depth (mm)",(1),IF($E$2="Intensity (mm/hr)",12,0))</f>
        <v>1.3939834953266428</v>
      </c>
      <c r="H133" s="24">
        <f>INDEX('IDF Distributions'!$A$1:$AB$290,MATCH('Bulk Tool'!$A133,'IDF Distributions'!$A$1:$A$290,0),MATCH('Bulk Tool'!H$5,'IDF Distributions'!$A$1:$AB$1,0))*INDEX($N$5:$N$11,MATCH(H$6,$L$5:$L$11,0))*IF($E$2="Depth (mm)",(1),IF($E$2="Intensity (mm/hr)",12,0))</f>
        <v>1.5611783283556402</v>
      </c>
      <c r="I133" s="12" t="str">
        <f>IF(COUNTIF($H$7:H133,$H$7)&gt;1,"Do Not Copy","Copy")</f>
        <v>Copy</v>
      </c>
      <c r="L133"/>
      <c r="M133" s="2"/>
    </row>
    <row r="134" spans="1:13" x14ac:dyDescent="0.25">
      <c r="A134" s="128">
        <f t="shared" si="4"/>
        <v>0.44097222222222116</v>
      </c>
      <c r="B134" s="24">
        <f>INDEX('IDF Distributions'!$A$1:$AB$290,MATCH('Bulk Tool'!$A134,'IDF Distributions'!$A$1:$A$290,0),MATCH('Bulk Tool'!B$5,'IDF Distributions'!$A$1:$AB$1,0))*INDEX($N$5:$N$11,MATCH(B$6,$L$5:$L$11,0))*IF($E$2="Depth (mm)",(1),IF($E$2="Intensity (mm/hr)",12,0))</f>
        <v>0.59454243133720441</v>
      </c>
      <c r="C134" s="24">
        <f>INDEX('IDF Distributions'!$A$1:$AB$290,MATCH('Bulk Tool'!$A134,'IDF Distributions'!$A$1:$A$290,0),MATCH('Bulk Tool'!C$5,'IDF Distributions'!$A$1:$AB$1,0))*INDEX($N$5:$N$11,MATCH(C$6,$L$5:$L$11,0))*IF($E$2="Depth (mm)",(1),IF($E$2="Intensity (mm/hr)",12,0))</f>
        <v>0.79280123575313444</v>
      </c>
      <c r="D134" s="24">
        <f>INDEX('IDF Distributions'!$A$1:$AB$290,MATCH('Bulk Tool'!$A134,'IDF Distributions'!$A$1:$A$290,0),MATCH('Bulk Tool'!D$5,'IDF Distributions'!$A$1:$AB$1,0))*INDEX($N$5:$N$11,MATCH(D$6,$L$5:$L$11,0))*IF($E$2="Depth (mm)",(1),IF($E$2="Intensity (mm/hr)",12,0))</f>
        <v>0.93356889648642605</v>
      </c>
      <c r="E134" s="24">
        <f>INDEX('IDF Distributions'!$A$1:$AB$290,MATCH('Bulk Tool'!$A134,'IDF Distributions'!$A$1:$A$290,0),MATCH('Bulk Tool'!E$5,'IDF Distributions'!$A$1:$AB$1,0))*INDEX($N$5:$N$11,MATCH(E$6,$L$5:$L$11,0))*IF($E$2="Depth (mm)",(1),IF($E$2="Intensity (mm/hr)",12,0))</f>
        <v>1.1273637971950545</v>
      </c>
      <c r="F134" s="24">
        <f>INDEX('IDF Distributions'!$A$1:$AB$290,MATCH('Bulk Tool'!$A134,'IDF Distributions'!$A$1:$A$290,0),MATCH('Bulk Tool'!F$5,'IDF Distributions'!$A$1:$AB$1,0))*INDEX($N$5:$N$11,MATCH(F$6,$L$5:$L$11,0))*IF($E$2="Depth (mm)",(1),IF($E$2="Intensity (mm/hr)",12,0))</f>
        <v>1.2803215602018367</v>
      </c>
      <c r="G134" s="24">
        <f>INDEX('IDF Distributions'!$A$1:$AB$290,MATCH('Bulk Tool'!$A134,'IDF Distributions'!$A$1:$A$290,0),MATCH('Bulk Tool'!G$5,'IDF Distributions'!$A$1:$AB$1,0))*INDEX($N$5:$N$11,MATCH(G$6,$L$5:$L$11,0))*IF($E$2="Depth (mm)",(1),IF($E$2="Intensity (mm/hr)",12,0))</f>
        <v>1.4420518917172109</v>
      </c>
      <c r="H134" s="24">
        <f>INDEX('IDF Distributions'!$A$1:$AB$290,MATCH('Bulk Tool'!$A134,'IDF Distributions'!$A$1:$A$290,0),MATCH('Bulk Tool'!H$5,'IDF Distributions'!$A$1:$AB$1,0))*INDEX($N$5:$N$11,MATCH(H$6,$L$5:$L$11,0))*IF($E$2="Depth (mm)",(1),IF($E$2="Intensity (mm/hr)",12,0))</f>
        <v>1.6150120638161733</v>
      </c>
      <c r="I134" s="12" t="str">
        <f>IF(COUNTIF($H$7:H134,$H$7)&gt;1,"Do Not Copy","Copy")</f>
        <v>Copy</v>
      </c>
      <c r="L134"/>
      <c r="M134" s="2"/>
    </row>
    <row r="135" spans="1:13" x14ac:dyDescent="0.25">
      <c r="A135" s="128">
        <f t="shared" si="4"/>
        <v>0.44444444444444337</v>
      </c>
      <c r="B135" s="24">
        <f>INDEX('IDF Distributions'!$A$1:$AB$290,MATCH('Bulk Tool'!$A135,'IDF Distributions'!$A$1:$A$290,0),MATCH('Bulk Tool'!B$5,'IDF Distributions'!$A$1:$AB$1,0))*INDEX($N$5:$N$11,MATCH(B$6,$L$5:$L$11,0))*IF($E$2="Depth (mm)",(1),IF($E$2="Intensity (mm/hr)",12,0))</f>
        <v>0.56976983003149018</v>
      </c>
      <c r="C135" s="24">
        <f>INDEX('IDF Distributions'!$A$1:$AB$290,MATCH('Bulk Tool'!$A135,'IDF Distributions'!$A$1:$A$290,0),MATCH('Bulk Tool'!C$5,'IDF Distributions'!$A$1:$AB$1,0))*INDEX($N$5:$N$11,MATCH(C$6,$L$5:$L$11,0))*IF($E$2="Depth (mm)",(1),IF($E$2="Intensity (mm/hr)",12,0))</f>
        <v>0.75976785093009069</v>
      </c>
      <c r="D135" s="24">
        <f>INDEX('IDF Distributions'!$A$1:$AB$290,MATCH('Bulk Tool'!$A135,'IDF Distributions'!$A$1:$A$290,0),MATCH('Bulk Tool'!D$5,'IDF Distributions'!$A$1:$AB$1,0))*INDEX($N$5:$N$11,MATCH(D$6,$L$5:$L$11,0))*IF($E$2="Depth (mm)",(1),IF($E$2="Intensity (mm/hr)",12,0))</f>
        <v>0.89467019246616253</v>
      </c>
      <c r="E135" s="24">
        <f>INDEX('IDF Distributions'!$A$1:$AB$290,MATCH('Bulk Tool'!$A135,'IDF Distributions'!$A$1:$A$290,0),MATCH('Bulk Tool'!E$5,'IDF Distributions'!$A$1:$AB$1,0))*INDEX($N$5:$N$11,MATCH(E$6,$L$5:$L$11,0))*IF($E$2="Depth (mm)",(1),IF($E$2="Intensity (mm/hr)",12,0))</f>
        <v>1.0803903056452657</v>
      </c>
      <c r="F135" s="24">
        <f>INDEX('IDF Distributions'!$A$1:$AB$290,MATCH('Bulk Tool'!$A135,'IDF Distributions'!$A$1:$A$290,0),MATCH('Bulk Tool'!F$5,'IDF Distributions'!$A$1:$AB$1,0))*INDEX($N$5:$N$11,MATCH(F$6,$L$5:$L$11,0))*IF($E$2="Depth (mm)",(1),IF($E$2="Intensity (mm/hr)",12,0))</f>
        <v>1.2269748285267661</v>
      </c>
      <c r="G135" s="24">
        <f>INDEX('IDF Distributions'!$A$1:$AB$290,MATCH('Bulk Tool'!$A135,'IDF Distributions'!$A$1:$A$290,0),MATCH('Bulk Tool'!G$5,'IDF Distributions'!$A$1:$AB$1,0))*INDEX($N$5:$N$11,MATCH(G$6,$L$5:$L$11,0))*IF($E$2="Depth (mm)",(1),IF($E$2="Intensity (mm/hr)",12,0))</f>
        <v>1.3819663962290005</v>
      </c>
      <c r="H135" s="24">
        <f>INDEX('IDF Distributions'!$A$1:$AB$290,MATCH('Bulk Tool'!$A135,'IDF Distributions'!$A$1:$A$290,0),MATCH('Bulk Tool'!H$5,'IDF Distributions'!$A$1:$AB$1,0))*INDEX($N$5:$N$11,MATCH(H$6,$L$5:$L$11,0))*IF($E$2="Depth (mm)",(1),IF($E$2="Intensity (mm/hr)",12,0))</f>
        <v>1.5477198944905068</v>
      </c>
      <c r="I135" s="12" t="str">
        <f>IF(COUNTIF($H$7:H135,$H$7)&gt;1,"Do Not Copy","Copy")</f>
        <v>Copy</v>
      </c>
      <c r="L135"/>
      <c r="M135" s="2"/>
    </row>
    <row r="136" spans="1:13" x14ac:dyDescent="0.25">
      <c r="A136" s="128">
        <f t="shared" si="4"/>
        <v>0.44791666666666557</v>
      </c>
      <c r="B136" s="24">
        <f>INDEX('IDF Distributions'!$A$1:$AB$290,MATCH('Bulk Tool'!$A136,'IDF Distributions'!$A$1:$A$290,0),MATCH('Bulk Tool'!B$5,'IDF Distributions'!$A$1:$AB$1,0))*INDEX($N$5:$N$11,MATCH(B$6,$L$5:$L$11,0))*IF($E$2="Depth (mm)",(1),IF($E$2="Intensity (mm/hr)",12,0))</f>
        <v>0.56976983003149018</v>
      </c>
      <c r="C136" s="24">
        <f>INDEX('IDF Distributions'!$A$1:$AB$290,MATCH('Bulk Tool'!$A136,'IDF Distributions'!$A$1:$A$290,0),MATCH('Bulk Tool'!C$5,'IDF Distributions'!$A$1:$AB$1,0))*INDEX($N$5:$N$11,MATCH(C$6,$L$5:$L$11,0))*IF($E$2="Depth (mm)",(1),IF($E$2="Intensity (mm/hr)",12,0))</f>
        <v>0.75976785093009069</v>
      </c>
      <c r="D136" s="24">
        <f>INDEX('IDF Distributions'!$A$1:$AB$290,MATCH('Bulk Tool'!$A136,'IDF Distributions'!$A$1:$A$290,0),MATCH('Bulk Tool'!D$5,'IDF Distributions'!$A$1:$AB$1,0))*INDEX($N$5:$N$11,MATCH(D$6,$L$5:$L$11,0))*IF($E$2="Depth (mm)",(1),IF($E$2="Intensity (mm/hr)",12,0))</f>
        <v>0.89467019246616253</v>
      </c>
      <c r="E136" s="24">
        <f>INDEX('IDF Distributions'!$A$1:$AB$290,MATCH('Bulk Tool'!$A136,'IDF Distributions'!$A$1:$A$290,0),MATCH('Bulk Tool'!E$5,'IDF Distributions'!$A$1:$AB$1,0))*INDEX($N$5:$N$11,MATCH(E$6,$L$5:$L$11,0))*IF($E$2="Depth (mm)",(1),IF($E$2="Intensity (mm/hr)",12,0))</f>
        <v>1.0803903056452657</v>
      </c>
      <c r="F136" s="24">
        <f>INDEX('IDF Distributions'!$A$1:$AB$290,MATCH('Bulk Tool'!$A136,'IDF Distributions'!$A$1:$A$290,0),MATCH('Bulk Tool'!F$5,'IDF Distributions'!$A$1:$AB$1,0))*INDEX($N$5:$N$11,MATCH(F$6,$L$5:$L$11,0))*IF($E$2="Depth (mm)",(1),IF($E$2="Intensity (mm/hr)",12,0))</f>
        <v>1.2269748285267661</v>
      </c>
      <c r="G136" s="24">
        <f>INDEX('IDF Distributions'!$A$1:$AB$290,MATCH('Bulk Tool'!$A136,'IDF Distributions'!$A$1:$A$290,0),MATCH('Bulk Tool'!G$5,'IDF Distributions'!$A$1:$AB$1,0))*INDEX($N$5:$N$11,MATCH(G$6,$L$5:$L$11,0))*IF($E$2="Depth (mm)",(1),IF($E$2="Intensity (mm/hr)",12,0))</f>
        <v>1.3819663962290005</v>
      </c>
      <c r="H136" s="24">
        <f>INDEX('IDF Distributions'!$A$1:$AB$290,MATCH('Bulk Tool'!$A136,'IDF Distributions'!$A$1:$A$290,0),MATCH('Bulk Tool'!H$5,'IDF Distributions'!$A$1:$AB$1,0))*INDEX($N$5:$N$11,MATCH(H$6,$L$5:$L$11,0))*IF($E$2="Depth (mm)",(1),IF($E$2="Intensity (mm/hr)",12,0))</f>
        <v>1.5477198944905068</v>
      </c>
      <c r="I136" s="12" t="str">
        <f>IF(COUNTIF($H$7:H136,$H$7)&gt;1,"Do Not Copy","Copy")</f>
        <v>Copy</v>
      </c>
      <c r="L136"/>
      <c r="M136" s="2"/>
    </row>
    <row r="137" spans="1:13" x14ac:dyDescent="0.25">
      <c r="A137" s="128">
        <f t="shared" ref="A137:A200" si="5">A136+TIME(0,5,0)</f>
        <v>0.45138888888888778</v>
      </c>
      <c r="B137" s="24">
        <f>INDEX('IDF Distributions'!$A$1:$AB$290,MATCH('Bulk Tool'!$A137,'IDF Distributions'!$A$1:$A$290,0),MATCH('Bulk Tool'!B$5,'IDF Distributions'!$A$1:$AB$1,0))*INDEX($N$5:$N$11,MATCH(B$6,$L$5:$L$11,0))*IF($E$2="Depth (mm)",(1),IF($E$2="Intensity (mm/hr)",12,0))</f>
        <v>0.56976983003147375</v>
      </c>
      <c r="C137" s="24">
        <f>INDEX('IDF Distributions'!$A$1:$AB$290,MATCH('Bulk Tool'!$A137,'IDF Distributions'!$A$1:$A$290,0),MATCH('Bulk Tool'!C$5,'IDF Distributions'!$A$1:$AB$1,0))*INDEX($N$5:$N$11,MATCH(C$6,$L$5:$L$11,0))*IF($E$2="Depth (mm)",(1),IF($E$2="Intensity (mm/hr)",12,0))</f>
        <v>0.75976785093006871</v>
      </c>
      <c r="D137" s="24">
        <f>INDEX('IDF Distributions'!$A$1:$AB$290,MATCH('Bulk Tool'!$A137,'IDF Distributions'!$A$1:$A$290,0),MATCH('Bulk Tool'!D$5,'IDF Distributions'!$A$1:$AB$1,0))*INDEX($N$5:$N$11,MATCH(D$6,$L$5:$L$11,0))*IF($E$2="Depth (mm)",(1),IF($E$2="Intensity (mm/hr)",12,0))</f>
        <v>0.89467019246613666</v>
      </c>
      <c r="E137" s="24">
        <f>INDEX('IDF Distributions'!$A$1:$AB$290,MATCH('Bulk Tool'!$A137,'IDF Distributions'!$A$1:$A$290,0),MATCH('Bulk Tool'!E$5,'IDF Distributions'!$A$1:$AB$1,0))*INDEX($N$5:$N$11,MATCH(E$6,$L$5:$L$11,0))*IF($E$2="Depth (mm)",(1),IF($E$2="Intensity (mm/hr)",12,0))</f>
        <v>1.0803903056452344</v>
      </c>
      <c r="F137" s="24">
        <f>INDEX('IDF Distributions'!$A$1:$AB$290,MATCH('Bulk Tool'!$A137,'IDF Distributions'!$A$1:$A$290,0),MATCH('Bulk Tool'!F$5,'IDF Distributions'!$A$1:$AB$1,0))*INDEX($N$5:$N$11,MATCH(F$6,$L$5:$L$11,0))*IF($E$2="Depth (mm)",(1),IF($E$2="Intensity (mm/hr)",12,0))</f>
        <v>1.2269748285267306</v>
      </c>
      <c r="G137" s="24">
        <f>INDEX('IDF Distributions'!$A$1:$AB$290,MATCH('Bulk Tool'!$A137,'IDF Distributions'!$A$1:$A$290,0),MATCH('Bulk Tool'!G$5,'IDF Distributions'!$A$1:$AB$1,0))*INDEX($N$5:$N$11,MATCH(G$6,$L$5:$L$11,0))*IF($E$2="Depth (mm)",(1),IF($E$2="Intensity (mm/hr)",12,0))</f>
        <v>1.3819663962289606</v>
      </c>
      <c r="H137" s="24">
        <f>INDEX('IDF Distributions'!$A$1:$AB$290,MATCH('Bulk Tool'!$A137,'IDF Distributions'!$A$1:$A$290,0),MATCH('Bulk Tool'!H$5,'IDF Distributions'!$A$1:$AB$1,0))*INDEX($N$5:$N$11,MATCH(H$6,$L$5:$L$11,0))*IF($E$2="Depth (mm)",(1),IF($E$2="Intensity (mm/hr)",12,0))</f>
        <v>1.547719894490462</v>
      </c>
      <c r="I137" s="12" t="str">
        <f>IF(COUNTIF($H$7:H137,$H$7)&gt;1,"Do Not Copy","Copy")</f>
        <v>Copy</v>
      </c>
      <c r="L137"/>
      <c r="M137" s="2"/>
    </row>
    <row r="138" spans="1:13" x14ac:dyDescent="0.25">
      <c r="A138" s="128">
        <f t="shared" si="5"/>
        <v>0.45486111111110999</v>
      </c>
      <c r="B138" s="24">
        <f>INDEX('IDF Distributions'!$A$1:$AB$290,MATCH('Bulk Tool'!$A138,'IDF Distributions'!$A$1:$A$290,0),MATCH('Bulk Tool'!B$5,'IDF Distributions'!$A$1:$AB$1,0))*INDEX($N$5:$N$11,MATCH(B$6,$L$5:$L$11,0))*IF($E$2="Depth (mm)",(1),IF($E$2="Intensity (mm/hr)",12,0))</f>
        <v>0.55986078950920459</v>
      </c>
      <c r="C138" s="24">
        <f>INDEX('IDF Distributions'!$A$1:$AB$290,MATCH('Bulk Tool'!$A138,'IDF Distributions'!$A$1:$A$290,0),MATCH('Bulk Tool'!C$5,'IDF Distributions'!$A$1:$AB$1,0))*INDEX($N$5:$N$11,MATCH(C$6,$L$5:$L$11,0))*IF($E$2="Depth (mm)",(1),IF($E$2="Intensity (mm/hr)",12,0))</f>
        <v>0.74655449700087329</v>
      </c>
      <c r="D138" s="24">
        <f>INDEX('IDF Distributions'!$A$1:$AB$290,MATCH('Bulk Tool'!$A138,'IDF Distributions'!$A$1:$A$290,0),MATCH('Bulk Tool'!D$5,'IDF Distributions'!$A$1:$AB$1,0))*INDEX($N$5:$N$11,MATCH(D$6,$L$5:$L$11,0))*IF($E$2="Depth (mm)",(1),IF($E$2="Intensity (mm/hr)",12,0))</f>
        <v>0.87911071085805725</v>
      </c>
      <c r="E138" s="24">
        <f>INDEX('IDF Distributions'!$A$1:$AB$290,MATCH('Bulk Tool'!$A138,'IDF Distributions'!$A$1:$A$290,0),MATCH('Bulk Tool'!E$5,'IDF Distributions'!$A$1:$AB$1,0))*INDEX($N$5:$N$11,MATCH(E$6,$L$5:$L$11,0))*IF($E$2="Depth (mm)",(1),IF($E$2="Intensity (mm/hr)",12,0))</f>
        <v>1.0616009090253504</v>
      </c>
      <c r="F138" s="24">
        <f>INDEX('IDF Distributions'!$A$1:$AB$290,MATCH('Bulk Tool'!$A138,'IDF Distributions'!$A$1:$A$290,0),MATCH('Bulk Tool'!F$5,'IDF Distributions'!$A$1:$AB$1,0))*INDEX($N$5:$N$11,MATCH(F$6,$L$5:$L$11,0))*IF($E$2="Depth (mm)",(1),IF($E$2="Intensity (mm/hr)",12,0))</f>
        <v>1.2056361358567378</v>
      </c>
      <c r="G138" s="24">
        <f>INDEX('IDF Distributions'!$A$1:$AB$290,MATCH('Bulk Tool'!$A138,'IDF Distributions'!$A$1:$A$290,0),MATCH('Bulk Tool'!G$5,'IDF Distributions'!$A$1:$AB$1,0))*INDEX($N$5:$N$11,MATCH(G$6,$L$5:$L$11,0))*IF($E$2="Depth (mm)",(1),IF($E$2="Intensity (mm/hr)",12,0))</f>
        <v>1.3579321980337165</v>
      </c>
      <c r="H138" s="24">
        <f>INDEX('IDF Distributions'!$A$1:$AB$290,MATCH('Bulk Tool'!$A138,'IDF Distributions'!$A$1:$A$290,0),MATCH('Bulk Tool'!H$5,'IDF Distributions'!$A$1:$AB$1,0))*INDEX($N$5:$N$11,MATCH(H$6,$L$5:$L$11,0))*IF($E$2="Depth (mm)",(1),IF($E$2="Intensity (mm/hr)",12,0))</f>
        <v>1.5208030267602402</v>
      </c>
      <c r="I138" s="12" t="str">
        <f>IF(COUNTIF($H$7:H138,$H$7)&gt;1,"Do Not Copy","Copy")</f>
        <v>Copy</v>
      </c>
      <c r="L138"/>
      <c r="M138" s="2"/>
    </row>
    <row r="139" spans="1:13" x14ac:dyDescent="0.25">
      <c r="A139" s="128">
        <f t="shared" si="5"/>
        <v>0.4583333333333322</v>
      </c>
      <c r="B139" s="24">
        <f>INDEX('IDF Distributions'!$A$1:$AB$290,MATCH('Bulk Tool'!$A139,'IDF Distributions'!$A$1:$A$290,0),MATCH('Bulk Tool'!B$5,'IDF Distributions'!$A$1:$AB$1,0))*INDEX($N$5:$N$11,MATCH(B$6,$L$5:$L$11,0))*IF($E$2="Depth (mm)",(1),IF($E$2="Intensity (mm/hr)",12,0))</f>
        <v>0.54499722872577616</v>
      </c>
      <c r="C139" s="24">
        <f>INDEX('IDF Distributions'!$A$1:$AB$290,MATCH('Bulk Tool'!$A139,'IDF Distributions'!$A$1:$A$290,0),MATCH('Bulk Tool'!C$5,'IDF Distributions'!$A$1:$AB$1,0))*INDEX($N$5:$N$11,MATCH(C$6,$L$5:$L$11,0))*IF($E$2="Depth (mm)",(1),IF($E$2="Intensity (mm/hr)",12,0))</f>
        <v>0.72673446610704717</v>
      </c>
      <c r="D139" s="24">
        <f>INDEX('IDF Distributions'!$A$1:$AB$290,MATCH('Bulk Tool'!$A139,'IDF Distributions'!$A$1:$A$290,0),MATCH('Bulk Tool'!D$5,'IDF Distributions'!$A$1:$AB$1,0))*INDEX($N$5:$N$11,MATCH(D$6,$L$5:$L$11,0))*IF($E$2="Depth (mm)",(1),IF($E$2="Intensity (mm/hr)",12,0))</f>
        <v>0.85577148844589912</v>
      </c>
      <c r="E139" s="24">
        <f>INDEX('IDF Distributions'!$A$1:$AB$290,MATCH('Bulk Tool'!$A139,'IDF Distributions'!$A$1:$A$290,0),MATCH('Bulk Tool'!E$5,'IDF Distributions'!$A$1:$AB$1,0))*INDEX($N$5:$N$11,MATCH(E$6,$L$5:$L$11,0))*IF($E$2="Depth (mm)",(1),IF($E$2="Intensity (mm/hr)",12,0))</f>
        <v>1.0334168140954771</v>
      </c>
      <c r="F139" s="24">
        <f>INDEX('IDF Distributions'!$A$1:$AB$290,MATCH('Bulk Tool'!$A139,'IDF Distributions'!$A$1:$A$290,0),MATCH('Bulk Tool'!F$5,'IDF Distributions'!$A$1:$AB$1,0))*INDEX($N$5:$N$11,MATCH(F$6,$L$5:$L$11,0))*IF($E$2="Depth (mm)",(1),IF($E$2="Intensity (mm/hr)",12,0))</f>
        <v>1.1736280968516954</v>
      </c>
      <c r="G139" s="24">
        <f>INDEX('IDF Distributions'!$A$1:$AB$290,MATCH('Bulk Tool'!$A139,'IDF Distributions'!$A$1:$A$290,0),MATCH('Bulk Tool'!G$5,'IDF Distributions'!$A$1:$AB$1,0))*INDEX($N$5:$N$11,MATCH(G$6,$L$5:$L$11,0))*IF($E$2="Depth (mm)",(1),IF($E$2="Intensity (mm/hr)",12,0))</f>
        <v>1.3218809007407901</v>
      </c>
      <c r="H139" s="24">
        <f>INDEX('IDF Distributions'!$A$1:$AB$290,MATCH('Bulk Tool'!$A139,'IDF Distributions'!$A$1:$A$290,0),MATCH('Bulk Tool'!H$5,'IDF Distributions'!$A$1:$AB$1,0))*INDEX($N$5:$N$11,MATCH(H$6,$L$5:$L$11,0))*IF($E$2="Depth (mm)",(1),IF($E$2="Intensity (mm/hr)",12,0))</f>
        <v>1.4804277251648403</v>
      </c>
      <c r="I139" s="12" t="str">
        <f>IF(COUNTIF($H$7:H139,$H$7)&gt;1,"Do Not Copy","Copy")</f>
        <v>Copy</v>
      </c>
      <c r="L139"/>
      <c r="M139" s="2"/>
    </row>
    <row r="140" spans="1:13" x14ac:dyDescent="0.25">
      <c r="A140" s="128">
        <f t="shared" si="5"/>
        <v>0.46180555555555441</v>
      </c>
      <c r="B140" s="24">
        <f>INDEX('IDF Distributions'!$A$1:$AB$290,MATCH('Bulk Tool'!$A140,'IDF Distributions'!$A$1:$A$290,0),MATCH('Bulk Tool'!B$5,'IDF Distributions'!$A$1:$AB$1,0))*INDEX($N$5:$N$11,MATCH(B$6,$L$5:$L$11,0))*IF($E$2="Depth (mm)",(1),IF($E$2="Intensity (mm/hr)",12,0))</f>
        <v>0.54499722872575962</v>
      </c>
      <c r="C140" s="24">
        <f>INDEX('IDF Distributions'!$A$1:$AB$290,MATCH('Bulk Tool'!$A140,'IDF Distributions'!$A$1:$A$290,0),MATCH('Bulk Tool'!C$5,'IDF Distributions'!$A$1:$AB$1,0))*INDEX($N$5:$N$11,MATCH(C$6,$L$5:$L$11,0))*IF($E$2="Depth (mm)",(1),IF($E$2="Intensity (mm/hr)",12,0))</f>
        <v>0.72673446610702519</v>
      </c>
      <c r="D140" s="24">
        <f>INDEX('IDF Distributions'!$A$1:$AB$290,MATCH('Bulk Tool'!$A140,'IDF Distributions'!$A$1:$A$290,0),MATCH('Bulk Tool'!D$5,'IDF Distributions'!$A$1:$AB$1,0))*INDEX($N$5:$N$11,MATCH(D$6,$L$5:$L$11,0))*IF($E$2="Depth (mm)",(1),IF($E$2="Intensity (mm/hr)",12,0))</f>
        <v>0.85577148844587314</v>
      </c>
      <c r="E140" s="24">
        <f>INDEX('IDF Distributions'!$A$1:$AB$290,MATCH('Bulk Tool'!$A140,'IDF Distributions'!$A$1:$A$290,0),MATCH('Bulk Tool'!E$5,'IDF Distributions'!$A$1:$AB$1,0))*INDEX($N$5:$N$11,MATCH(E$6,$L$5:$L$11,0))*IF($E$2="Depth (mm)",(1),IF($E$2="Intensity (mm/hr)",12,0))</f>
        <v>1.0334168140954458</v>
      </c>
      <c r="F140" s="24">
        <f>INDEX('IDF Distributions'!$A$1:$AB$290,MATCH('Bulk Tool'!$A140,'IDF Distributions'!$A$1:$A$290,0),MATCH('Bulk Tool'!F$5,'IDF Distributions'!$A$1:$AB$1,0))*INDEX($N$5:$N$11,MATCH(F$6,$L$5:$L$11,0))*IF($E$2="Depth (mm)",(1),IF($E$2="Intensity (mm/hr)",12,0))</f>
        <v>1.1736280968516599</v>
      </c>
      <c r="G140" s="24">
        <f>INDEX('IDF Distributions'!$A$1:$AB$290,MATCH('Bulk Tool'!$A140,'IDF Distributions'!$A$1:$A$290,0),MATCH('Bulk Tool'!G$5,'IDF Distributions'!$A$1:$AB$1,0))*INDEX($N$5:$N$11,MATCH(G$6,$L$5:$L$11,0))*IF($E$2="Depth (mm)",(1),IF($E$2="Intensity (mm/hr)",12,0))</f>
        <v>1.3218809007407499</v>
      </c>
      <c r="H140" s="24">
        <f>INDEX('IDF Distributions'!$A$1:$AB$290,MATCH('Bulk Tool'!$A140,'IDF Distributions'!$A$1:$A$290,0),MATCH('Bulk Tool'!H$5,'IDF Distributions'!$A$1:$AB$1,0))*INDEX($N$5:$N$11,MATCH(H$6,$L$5:$L$11,0))*IF($E$2="Depth (mm)",(1),IF($E$2="Intensity (mm/hr)",12,0))</f>
        <v>1.4804277251647957</v>
      </c>
      <c r="I140" s="12" t="str">
        <f>IF(COUNTIF($H$7:H140,$H$7)&gt;1,"Do Not Copy","Copy")</f>
        <v>Copy</v>
      </c>
      <c r="L140"/>
      <c r="M140" s="2"/>
    </row>
    <row r="141" spans="1:13" x14ac:dyDescent="0.25">
      <c r="A141" s="128">
        <f t="shared" si="5"/>
        <v>0.46527777777777662</v>
      </c>
      <c r="B141" s="24">
        <f>INDEX('IDF Distributions'!$A$1:$AB$290,MATCH('Bulk Tool'!$A141,'IDF Distributions'!$A$1:$A$290,0),MATCH('Bulk Tool'!B$5,'IDF Distributions'!$A$1:$AB$1,0))*INDEX($N$5:$N$11,MATCH(B$6,$L$5:$L$11,0))*IF($E$2="Depth (mm)",(1),IF($E$2="Intensity (mm/hr)",12,0))</f>
        <v>0.52022462742006215</v>
      </c>
      <c r="C141" s="24">
        <f>INDEX('IDF Distributions'!$A$1:$AB$290,MATCH('Bulk Tool'!$A141,'IDF Distributions'!$A$1:$A$290,0),MATCH('Bulk Tool'!C$5,'IDF Distributions'!$A$1:$AB$1,0))*INDEX($N$5:$N$11,MATCH(C$6,$L$5:$L$11,0))*IF($E$2="Depth (mm)",(1),IF($E$2="Intensity (mm/hr)",12,0))</f>
        <v>0.69370108128400354</v>
      </c>
      <c r="D141" s="24">
        <f>INDEX('IDF Distributions'!$A$1:$AB$290,MATCH('Bulk Tool'!$A141,'IDF Distributions'!$A$1:$A$290,0),MATCH('Bulk Tool'!D$5,'IDF Distributions'!$A$1:$AB$1,0))*INDEX($N$5:$N$11,MATCH(D$6,$L$5:$L$11,0))*IF($E$2="Depth (mm)",(1),IF($E$2="Intensity (mm/hr)",12,0))</f>
        <v>0.8168727844256356</v>
      </c>
      <c r="E141" s="24">
        <f>INDEX('IDF Distributions'!$A$1:$AB$290,MATCH('Bulk Tool'!$A141,'IDF Distributions'!$A$1:$A$290,0),MATCH('Bulk Tool'!E$5,'IDF Distributions'!$A$1:$AB$1,0))*INDEX($N$5:$N$11,MATCH(E$6,$L$5:$L$11,0))*IF($E$2="Depth (mm)",(1),IF($E$2="Intensity (mm/hr)",12,0))</f>
        <v>0.98644332254568845</v>
      </c>
      <c r="F141" s="24">
        <f>INDEX('IDF Distributions'!$A$1:$AB$290,MATCH('Bulk Tool'!$A141,'IDF Distributions'!$A$1:$A$290,0),MATCH('Bulk Tool'!F$5,'IDF Distributions'!$A$1:$AB$1,0))*INDEX($N$5:$N$11,MATCH(F$6,$L$5:$L$11,0))*IF($E$2="Depth (mm)",(1),IF($E$2="Intensity (mm/hr)",12,0))</f>
        <v>1.120281365176625</v>
      </c>
      <c r="G141" s="24">
        <f>INDEX('IDF Distributions'!$A$1:$AB$290,MATCH('Bulk Tool'!$A141,'IDF Distributions'!$A$1:$A$290,0),MATCH('Bulk Tool'!G$5,'IDF Distributions'!$A$1:$AB$1,0))*INDEX($N$5:$N$11,MATCH(G$6,$L$5:$L$11,0))*IF($E$2="Depth (mm)",(1),IF($E$2="Intensity (mm/hr)",12,0))</f>
        <v>1.2617954052525795</v>
      </c>
      <c r="H141" s="24">
        <f>INDEX('IDF Distributions'!$A$1:$AB$290,MATCH('Bulk Tool'!$A141,'IDF Distributions'!$A$1:$A$290,0),MATCH('Bulk Tool'!H$5,'IDF Distributions'!$A$1:$AB$1,0))*INDEX($N$5:$N$11,MATCH(H$6,$L$5:$L$11,0))*IF($E$2="Depth (mm)",(1),IF($E$2="Intensity (mm/hr)",12,0))</f>
        <v>1.4131355558391741</v>
      </c>
      <c r="I141" s="12" t="str">
        <f>IF(COUNTIF($H$7:H141,$H$7)&gt;1,"Do Not Copy","Copy")</f>
        <v>Copy</v>
      </c>
      <c r="L141"/>
      <c r="M141" s="2"/>
    </row>
    <row r="142" spans="1:13" x14ac:dyDescent="0.25">
      <c r="A142" s="128">
        <f t="shared" si="5"/>
        <v>0.46874999999999883</v>
      </c>
      <c r="B142" s="24">
        <f>INDEX('IDF Distributions'!$A$1:$AB$290,MATCH('Bulk Tool'!$A142,'IDF Distributions'!$A$1:$A$290,0),MATCH('Bulk Tool'!B$5,'IDF Distributions'!$A$1:$AB$1,0))*INDEX($N$5:$N$11,MATCH(B$6,$L$5:$L$11,0))*IF($E$2="Depth (mm)",(1),IF($E$2="Intensity (mm/hr)",12,0))</f>
        <v>0.52022462742006215</v>
      </c>
      <c r="C142" s="24">
        <f>INDEX('IDF Distributions'!$A$1:$AB$290,MATCH('Bulk Tool'!$A142,'IDF Distributions'!$A$1:$A$290,0),MATCH('Bulk Tool'!C$5,'IDF Distributions'!$A$1:$AB$1,0))*INDEX($N$5:$N$11,MATCH(C$6,$L$5:$L$11,0))*IF($E$2="Depth (mm)",(1),IF($E$2="Intensity (mm/hr)",12,0))</f>
        <v>0.69370108128400354</v>
      </c>
      <c r="D142" s="24">
        <f>INDEX('IDF Distributions'!$A$1:$AB$290,MATCH('Bulk Tool'!$A142,'IDF Distributions'!$A$1:$A$290,0),MATCH('Bulk Tool'!D$5,'IDF Distributions'!$A$1:$AB$1,0))*INDEX($N$5:$N$11,MATCH(D$6,$L$5:$L$11,0))*IF($E$2="Depth (mm)",(1),IF($E$2="Intensity (mm/hr)",12,0))</f>
        <v>0.8168727844256356</v>
      </c>
      <c r="E142" s="24">
        <f>INDEX('IDF Distributions'!$A$1:$AB$290,MATCH('Bulk Tool'!$A142,'IDF Distributions'!$A$1:$A$290,0),MATCH('Bulk Tool'!E$5,'IDF Distributions'!$A$1:$AB$1,0))*INDEX($N$5:$N$11,MATCH(E$6,$L$5:$L$11,0))*IF($E$2="Depth (mm)",(1),IF($E$2="Intensity (mm/hr)",12,0))</f>
        <v>0.98644332254568845</v>
      </c>
      <c r="F142" s="24">
        <f>INDEX('IDF Distributions'!$A$1:$AB$290,MATCH('Bulk Tool'!$A142,'IDF Distributions'!$A$1:$A$290,0),MATCH('Bulk Tool'!F$5,'IDF Distributions'!$A$1:$AB$1,0))*INDEX($N$5:$N$11,MATCH(F$6,$L$5:$L$11,0))*IF($E$2="Depth (mm)",(1),IF($E$2="Intensity (mm/hr)",12,0))</f>
        <v>1.120281365176625</v>
      </c>
      <c r="G142" s="24">
        <f>INDEX('IDF Distributions'!$A$1:$AB$290,MATCH('Bulk Tool'!$A142,'IDF Distributions'!$A$1:$A$290,0),MATCH('Bulk Tool'!G$5,'IDF Distributions'!$A$1:$AB$1,0))*INDEX($N$5:$N$11,MATCH(G$6,$L$5:$L$11,0))*IF($E$2="Depth (mm)",(1),IF($E$2="Intensity (mm/hr)",12,0))</f>
        <v>1.2617954052525795</v>
      </c>
      <c r="H142" s="24">
        <f>INDEX('IDF Distributions'!$A$1:$AB$290,MATCH('Bulk Tool'!$A142,'IDF Distributions'!$A$1:$A$290,0),MATCH('Bulk Tool'!H$5,'IDF Distributions'!$A$1:$AB$1,0))*INDEX($N$5:$N$11,MATCH(H$6,$L$5:$L$11,0))*IF($E$2="Depth (mm)",(1),IF($E$2="Intensity (mm/hr)",12,0))</f>
        <v>1.4131355558391741</v>
      </c>
      <c r="I142" s="12" t="str">
        <f>IF(COUNTIF($H$7:H142,$H$7)&gt;1,"Do Not Copy","Copy")</f>
        <v>Copy</v>
      </c>
      <c r="L142"/>
      <c r="M142" s="2"/>
    </row>
    <row r="143" spans="1:13" x14ac:dyDescent="0.25">
      <c r="A143" s="128">
        <f t="shared" si="5"/>
        <v>0.47222222222222104</v>
      </c>
      <c r="B143" s="24">
        <f>INDEX('IDF Distributions'!$A$1:$AB$290,MATCH('Bulk Tool'!$A143,'IDF Distributions'!$A$1:$A$290,0),MATCH('Bulk Tool'!B$5,'IDF Distributions'!$A$1:$AB$1,0))*INDEX($N$5:$N$11,MATCH(B$6,$L$5:$L$11,0))*IF($E$2="Depth (mm)",(1),IF($E$2="Intensity (mm/hr)",12,0))</f>
        <v>0.52022462742004549</v>
      </c>
      <c r="C143" s="24">
        <f>INDEX('IDF Distributions'!$A$1:$AB$290,MATCH('Bulk Tool'!$A143,'IDF Distributions'!$A$1:$A$290,0),MATCH('Bulk Tool'!C$5,'IDF Distributions'!$A$1:$AB$1,0))*INDEX($N$5:$N$11,MATCH(C$6,$L$5:$L$11,0))*IF($E$2="Depth (mm)",(1),IF($E$2="Intensity (mm/hr)",12,0))</f>
        <v>0.69370108128398156</v>
      </c>
      <c r="D143" s="24">
        <f>INDEX('IDF Distributions'!$A$1:$AB$290,MATCH('Bulk Tool'!$A143,'IDF Distributions'!$A$1:$A$290,0),MATCH('Bulk Tool'!D$5,'IDF Distributions'!$A$1:$AB$1,0))*INDEX($N$5:$N$11,MATCH(D$6,$L$5:$L$11,0))*IF($E$2="Depth (mm)",(1),IF($E$2="Intensity (mm/hr)",12,0))</f>
        <v>0.81687278442560984</v>
      </c>
      <c r="E143" s="24">
        <f>INDEX('IDF Distributions'!$A$1:$AB$290,MATCH('Bulk Tool'!$A143,'IDF Distributions'!$A$1:$A$290,0),MATCH('Bulk Tool'!E$5,'IDF Distributions'!$A$1:$AB$1,0))*INDEX($N$5:$N$11,MATCH(E$6,$L$5:$L$11,0))*IF($E$2="Depth (mm)",(1),IF($E$2="Intensity (mm/hr)",12,0))</f>
        <v>0.98644332254565714</v>
      </c>
      <c r="F143" s="24">
        <f>INDEX('IDF Distributions'!$A$1:$AB$290,MATCH('Bulk Tool'!$A143,'IDF Distributions'!$A$1:$A$290,0),MATCH('Bulk Tool'!F$5,'IDF Distributions'!$A$1:$AB$1,0))*INDEX($N$5:$N$11,MATCH(F$6,$L$5:$L$11,0))*IF($E$2="Depth (mm)",(1),IF($E$2="Intensity (mm/hr)",12,0))</f>
        <v>1.1202813651765893</v>
      </c>
      <c r="G143" s="24">
        <f>INDEX('IDF Distributions'!$A$1:$AB$290,MATCH('Bulk Tool'!$A143,'IDF Distributions'!$A$1:$A$290,0),MATCH('Bulk Tool'!G$5,'IDF Distributions'!$A$1:$AB$1,0))*INDEX($N$5:$N$11,MATCH(G$6,$L$5:$L$11,0))*IF($E$2="Depth (mm)",(1),IF($E$2="Intensity (mm/hr)",12,0))</f>
        <v>1.2617954052525395</v>
      </c>
      <c r="H143" s="24">
        <f>INDEX('IDF Distributions'!$A$1:$AB$290,MATCH('Bulk Tool'!$A143,'IDF Distributions'!$A$1:$A$290,0),MATCH('Bulk Tool'!H$5,'IDF Distributions'!$A$1:$AB$1,0))*INDEX($N$5:$N$11,MATCH(H$6,$L$5:$L$11,0))*IF($E$2="Depth (mm)",(1),IF($E$2="Intensity (mm/hr)",12,0))</f>
        <v>1.4131355558391292</v>
      </c>
      <c r="I143" s="12" t="str">
        <f>IF(COUNTIF($H$7:H143,$H$7)&gt;1,"Do Not Copy","Copy")</f>
        <v>Copy</v>
      </c>
      <c r="L143"/>
      <c r="M143" s="2"/>
    </row>
    <row r="144" spans="1:13" x14ac:dyDescent="0.25">
      <c r="A144" s="128">
        <f t="shared" si="5"/>
        <v>0.47569444444444325</v>
      </c>
      <c r="B144" s="24">
        <f>INDEX('IDF Distributions'!$A$1:$AB$290,MATCH('Bulk Tool'!$A144,'IDF Distributions'!$A$1:$A$290,0),MATCH('Bulk Tool'!B$5,'IDF Distributions'!$A$1:$AB$1,0))*INDEX($N$5:$N$11,MATCH(B$6,$L$5:$L$11,0))*IF($E$2="Depth (mm)",(1),IF($E$2="Intensity (mm/hr)",12,0))</f>
        <v>0.51031558689775991</v>
      </c>
      <c r="C144" s="24">
        <f>INDEX('IDF Distributions'!$A$1:$AB$290,MATCH('Bulk Tool'!$A144,'IDF Distributions'!$A$1:$A$290,0),MATCH('Bulk Tool'!C$5,'IDF Distributions'!$A$1:$AB$1,0))*INDEX($N$5:$N$11,MATCH(C$6,$L$5:$L$11,0))*IF($E$2="Depth (mm)",(1),IF($E$2="Intensity (mm/hr)",12,0))</f>
        <v>0.68048772735476404</v>
      </c>
      <c r="D144" s="24">
        <f>INDEX('IDF Distributions'!$A$1:$AB$290,MATCH('Bulk Tool'!$A144,'IDF Distributions'!$A$1:$A$290,0),MATCH('Bulk Tool'!D$5,'IDF Distributions'!$A$1:$AB$1,0))*INDEX($N$5:$N$11,MATCH(D$6,$L$5:$L$11,0))*IF($E$2="Depth (mm)",(1),IF($E$2="Intensity (mm/hr)",12,0))</f>
        <v>0.80131330281750435</v>
      </c>
      <c r="E144" s="24">
        <f>INDEX('IDF Distributions'!$A$1:$AB$290,MATCH('Bulk Tool'!$A144,'IDF Distributions'!$A$1:$A$290,0),MATCH('Bulk Tool'!E$5,'IDF Distributions'!$A$1:$AB$1,0))*INDEX($N$5:$N$11,MATCH(E$6,$L$5:$L$11,0))*IF($E$2="Depth (mm)",(1),IF($E$2="Intensity (mm/hr)",12,0))</f>
        <v>0.96765392592574173</v>
      </c>
      <c r="F144" s="24">
        <f>INDEX('IDF Distributions'!$A$1:$AB$290,MATCH('Bulk Tool'!$A144,'IDF Distributions'!$A$1:$A$290,0),MATCH('Bulk Tool'!F$5,'IDF Distributions'!$A$1:$AB$1,0))*INDEX($N$5:$N$11,MATCH(F$6,$L$5:$L$11,0))*IF($E$2="Depth (mm)",(1),IF($E$2="Intensity (mm/hr)",12,0))</f>
        <v>1.0989426725065612</v>
      </c>
      <c r="G144" s="24">
        <f>INDEX('IDF Distributions'!$A$1:$AB$290,MATCH('Bulk Tool'!$A144,'IDF Distributions'!$A$1:$A$290,0),MATCH('Bulk Tool'!G$5,'IDF Distributions'!$A$1:$AB$1,0))*INDEX($N$5:$N$11,MATCH(G$6,$L$5:$L$11,0))*IF($E$2="Depth (mm)",(1),IF($E$2="Intensity (mm/hr)",12,0))</f>
        <v>1.2377612070572555</v>
      </c>
      <c r="H144" s="24">
        <f>INDEX('IDF Distributions'!$A$1:$AB$290,MATCH('Bulk Tool'!$A144,'IDF Distributions'!$A$1:$A$290,0),MATCH('Bulk Tool'!H$5,'IDF Distributions'!$A$1:$AB$1,0))*INDEX($N$5:$N$11,MATCH(H$6,$L$5:$L$11,0))*IF($E$2="Depth (mm)",(1),IF($E$2="Intensity (mm/hr)",12,0))</f>
        <v>1.3862186881088627</v>
      </c>
      <c r="I144" s="12" t="str">
        <f>IF(COUNTIF($H$7:H144,$H$7)&gt;1,"Do Not Copy","Copy")</f>
        <v>Copy</v>
      </c>
      <c r="L144"/>
      <c r="M144" s="2"/>
    </row>
    <row r="145" spans="1:13" x14ac:dyDescent="0.25">
      <c r="A145" s="128">
        <f t="shared" si="5"/>
        <v>0.47916666666666546</v>
      </c>
      <c r="B145" s="24">
        <f>INDEX('IDF Distributions'!$A$1:$AB$290,MATCH('Bulk Tool'!$A145,'IDF Distributions'!$A$1:$A$290,0),MATCH('Bulk Tool'!B$5,'IDF Distributions'!$A$1:$AB$1,0))*INDEX($N$5:$N$11,MATCH(B$6,$L$5:$L$11,0))*IF($E$2="Depth (mm)",(1),IF($E$2="Intensity (mm/hr)",12,0))</f>
        <v>0.49297476598377654</v>
      </c>
      <c r="C145" s="24">
        <f>INDEX('IDF Distributions'!$A$1:$AB$290,MATCH('Bulk Tool'!$A145,'IDF Distributions'!$A$1:$A$290,0),MATCH('Bulk Tool'!C$5,'IDF Distributions'!$A$1:$AB$1,0))*INDEX($N$5:$N$11,MATCH(C$6,$L$5:$L$11,0))*IF($E$2="Depth (mm)",(1),IF($E$2="Intensity (mm/hr)",12,0))</f>
        <v>0.65736435797865567</v>
      </c>
      <c r="D145" s="24">
        <f>INDEX('IDF Distributions'!$A$1:$AB$290,MATCH('Bulk Tool'!$A145,'IDF Distributions'!$A$1:$A$290,0),MATCH('Bulk Tool'!D$5,'IDF Distributions'!$A$1:$AB$1,0))*INDEX($N$5:$N$11,MATCH(D$6,$L$5:$L$11,0))*IF($E$2="Depth (mm)",(1),IF($E$2="Intensity (mm/hr)",12,0))</f>
        <v>0.77408421000334604</v>
      </c>
      <c r="E145" s="24">
        <f>INDEX('IDF Distributions'!$A$1:$AB$290,MATCH('Bulk Tool'!$A145,'IDF Distributions'!$A$1:$A$290,0),MATCH('Bulk Tool'!E$5,'IDF Distributions'!$A$1:$AB$1,0))*INDEX($N$5:$N$11,MATCH(E$6,$L$5:$L$11,0))*IF($E$2="Depth (mm)",(1),IF($E$2="Intensity (mm/hr)",12,0))</f>
        <v>0.93477248184092065</v>
      </c>
      <c r="F145" s="24">
        <f>INDEX('IDF Distributions'!$A$1:$AB$290,MATCH('Bulk Tool'!$A145,'IDF Distributions'!$A$1:$A$290,0),MATCH('Bulk Tool'!F$5,'IDF Distributions'!$A$1:$AB$1,0))*INDEX($N$5:$N$11,MATCH(F$6,$L$5:$L$11,0))*IF($E$2="Depth (mm)",(1),IF($E$2="Intensity (mm/hr)",12,0))</f>
        <v>1.0615999603340474</v>
      </c>
      <c r="G145" s="24">
        <f>INDEX('IDF Distributions'!$A$1:$AB$290,MATCH('Bulk Tool'!$A145,'IDF Distributions'!$A$1:$A$290,0),MATCH('Bulk Tool'!G$5,'IDF Distributions'!$A$1:$AB$1,0))*INDEX($N$5:$N$11,MATCH(G$6,$L$5:$L$11,0))*IF($E$2="Depth (mm)",(1),IF($E$2="Intensity (mm/hr)",12,0))</f>
        <v>1.1957013602155482</v>
      </c>
      <c r="H145" s="24">
        <f>INDEX('IDF Distributions'!$A$1:$AB$290,MATCH('Bulk Tool'!$A145,'IDF Distributions'!$A$1:$A$290,0),MATCH('Bulk Tool'!H$5,'IDF Distributions'!$A$1:$AB$1,0))*INDEX($N$5:$N$11,MATCH(H$6,$L$5:$L$11,0))*IF($E$2="Depth (mm)",(1),IF($E$2="Intensity (mm/hr)",12,0))</f>
        <v>1.339114169580941</v>
      </c>
      <c r="I145" s="12" t="str">
        <f>IF(COUNTIF($H$7:H145,$H$7)&gt;1,"Do Not Copy","Copy")</f>
        <v>Copy</v>
      </c>
      <c r="L145"/>
      <c r="M145" s="2"/>
    </row>
    <row r="146" spans="1:13" x14ac:dyDescent="0.25">
      <c r="A146" s="128">
        <f t="shared" si="5"/>
        <v>0.48263888888888767</v>
      </c>
      <c r="B146" s="24">
        <f>INDEX('IDF Distributions'!$A$1:$AB$290,MATCH('Bulk Tool'!$A146,'IDF Distributions'!$A$1:$A$290,0),MATCH('Bulk Tool'!B$5,'IDF Distributions'!$A$1:$AB$1,0))*INDEX($N$5:$N$11,MATCH(B$6,$L$5:$L$11,0))*IF($E$2="Depth (mm)",(1),IF($E$2="Intensity (mm/hr)",12,0))</f>
        <v>0.48306572546147442</v>
      </c>
      <c r="C146" s="24">
        <f>INDEX('IDF Distributions'!$A$1:$AB$290,MATCH('Bulk Tool'!$A146,'IDF Distributions'!$A$1:$A$290,0),MATCH('Bulk Tool'!C$5,'IDF Distributions'!$A$1:$AB$1,0))*INDEX($N$5:$N$11,MATCH(C$6,$L$5:$L$11,0))*IF($E$2="Depth (mm)",(1),IF($E$2="Intensity (mm/hr)",12,0))</f>
        <v>0.64415100404941616</v>
      </c>
      <c r="D146" s="24">
        <f>INDEX('IDF Distributions'!$A$1:$AB$290,MATCH('Bulk Tool'!$A146,'IDF Distributions'!$A$1:$A$290,0),MATCH('Bulk Tool'!D$5,'IDF Distributions'!$A$1:$AB$1,0))*INDEX($N$5:$N$11,MATCH(D$6,$L$5:$L$11,0))*IF($E$2="Depth (mm)",(1),IF($E$2="Intensity (mm/hr)",12,0))</f>
        <v>0.75852472839521456</v>
      </c>
      <c r="E146" s="24">
        <f>INDEX('IDF Distributions'!$A$1:$AB$290,MATCH('Bulk Tool'!$A146,'IDF Distributions'!$A$1:$A$290,0),MATCH('Bulk Tool'!E$5,'IDF Distributions'!$A$1:$AB$1,0))*INDEX($N$5:$N$11,MATCH(E$6,$L$5:$L$11,0))*IF($E$2="Depth (mm)",(1),IF($E$2="Intensity (mm/hr)",12,0))</f>
        <v>0.91598308522097394</v>
      </c>
      <c r="F146" s="24">
        <f>INDEX('IDF Distributions'!$A$1:$AB$290,MATCH('Bulk Tool'!$A146,'IDF Distributions'!$A$1:$A$290,0),MATCH('Bulk Tool'!F$5,'IDF Distributions'!$A$1:$AB$1,0))*INDEX($N$5:$N$11,MATCH(F$6,$L$5:$L$11,0))*IF($E$2="Depth (mm)",(1),IF($E$2="Intensity (mm/hr)",12,0))</f>
        <v>1.0402612676639835</v>
      </c>
      <c r="G146" s="24">
        <f>INDEX('IDF Distributions'!$A$1:$AB$290,MATCH('Bulk Tool'!$A146,'IDF Distributions'!$A$1:$A$290,0),MATCH('Bulk Tool'!G$5,'IDF Distributions'!$A$1:$AB$1,0))*INDEX($N$5:$N$11,MATCH(G$6,$L$5:$L$11,0))*IF($E$2="Depth (mm)",(1),IF($E$2="Intensity (mm/hr)",12,0))</f>
        <v>1.1716671620202239</v>
      </c>
      <c r="H146" s="24">
        <f>INDEX('IDF Distributions'!$A$1:$AB$290,MATCH('Bulk Tool'!$A146,'IDF Distributions'!$A$1:$A$290,0),MATCH('Bulk Tool'!H$5,'IDF Distributions'!$A$1:$AB$1,0))*INDEX($N$5:$N$11,MATCH(H$6,$L$5:$L$11,0))*IF($E$2="Depth (mm)",(1),IF($E$2="Intensity (mm/hr)",12,0))</f>
        <v>1.3121973018506297</v>
      </c>
      <c r="I146" s="12" t="str">
        <f>IF(COUNTIF($H$7:H146,$H$7)&gt;1,"Do Not Copy","Copy")</f>
        <v>Copy</v>
      </c>
      <c r="L146"/>
      <c r="M146" s="2"/>
    </row>
    <row r="147" spans="1:13" x14ac:dyDescent="0.25">
      <c r="A147" s="128">
        <f t="shared" si="5"/>
        <v>0.48611111111110988</v>
      </c>
      <c r="B147" s="24">
        <f>INDEX('IDF Distributions'!$A$1:$AB$290,MATCH('Bulk Tool'!$A147,'IDF Distributions'!$A$1:$A$290,0),MATCH('Bulk Tool'!B$5,'IDF Distributions'!$A$1:$AB$1,0))*INDEX($N$5:$N$11,MATCH(B$6,$L$5:$L$11,0))*IF($E$2="Depth (mm)",(1),IF($E$2="Intensity (mm/hr)",12,0))</f>
        <v>0.47067942480860092</v>
      </c>
      <c r="C147" s="24">
        <f>INDEX('IDF Distributions'!$A$1:$AB$290,MATCH('Bulk Tool'!$A147,'IDF Distributions'!$A$1:$A$290,0),MATCH('Bulk Tool'!C$5,'IDF Distributions'!$A$1:$AB$1,0))*INDEX($N$5:$N$11,MATCH(C$6,$L$5:$L$11,0))*IF($E$2="Depth (mm)",(1),IF($E$2="Intensity (mm/hr)",12,0))</f>
        <v>0.62763431163787231</v>
      </c>
      <c r="D147" s="24">
        <f>INDEX('IDF Distributions'!$A$1:$AB$290,MATCH('Bulk Tool'!$A147,'IDF Distributions'!$A$1:$A$290,0),MATCH('Bulk Tool'!D$5,'IDF Distributions'!$A$1:$AB$1,0))*INDEX($N$5:$N$11,MATCH(D$6,$L$5:$L$11,0))*IF($E$2="Depth (mm)",(1),IF($E$2="Intensity (mm/hr)",12,0))</f>
        <v>0.73907537638505705</v>
      </c>
      <c r="E147" s="24">
        <f>INDEX('IDF Distributions'!$A$1:$AB$290,MATCH('Bulk Tool'!$A147,'IDF Distributions'!$A$1:$A$290,0),MATCH('Bulk Tool'!E$5,'IDF Distributions'!$A$1:$AB$1,0))*INDEX($N$5:$N$11,MATCH(E$6,$L$5:$L$11,0))*IF($E$2="Depth (mm)",(1),IF($E$2="Intensity (mm/hr)",12,0))</f>
        <v>0.89249633944604834</v>
      </c>
      <c r="F147" s="24">
        <f>INDEX('IDF Distributions'!$A$1:$AB$290,MATCH('Bulk Tool'!$A147,'IDF Distributions'!$A$1:$A$290,0),MATCH('Bulk Tool'!F$5,'IDF Distributions'!$A$1:$AB$1,0))*INDEX($N$5:$N$11,MATCH(F$6,$L$5:$L$11,0))*IF($E$2="Depth (mm)",(1),IF($E$2="Intensity (mm/hr)",12,0))</f>
        <v>1.0135879018264127</v>
      </c>
      <c r="G147" s="24">
        <f>INDEX('IDF Distributions'!$A$1:$AB$290,MATCH('Bulk Tool'!$A147,'IDF Distributions'!$A$1:$A$290,0),MATCH('Bulk Tool'!G$5,'IDF Distributions'!$A$1:$AB$1,0))*INDEX($N$5:$N$11,MATCH(G$6,$L$5:$L$11,0))*IF($E$2="Depth (mm)",(1),IF($E$2="Intensity (mm/hr)",12,0))</f>
        <v>1.1416244142760785</v>
      </c>
      <c r="H147" s="24">
        <f>INDEX('IDF Distributions'!$A$1:$AB$290,MATCH('Bulk Tool'!$A147,'IDF Distributions'!$A$1:$A$290,0),MATCH('Bulk Tool'!H$5,'IDF Distributions'!$A$1:$AB$1,0))*INDEX($N$5:$N$11,MATCH(H$6,$L$5:$L$11,0))*IF($E$2="Depth (mm)",(1),IF($E$2="Intensity (mm/hr)",12,0))</f>
        <v>1.2785512171877516</v>
      </c>
      <c r="I147" s="12" t="str">
        <f>IF(COUNTIF($H$7:H147,$H$7)&gt;1,"Do Not Copy","Copy")</f>
        <v>Copy</v>
      </c>
      <c r="L147"/>
      <c r="M147" s="2"/>
    </row>
    <row r="148" spans="1:13" x14ac:dyDescent="0.25">
      <c r="A148" s="128">
        <f t="shared" si="5"/>
        <v>0.48958333333333209</v>
      </c>
      <c r="B148" s="24">
        <f>INDEX('IDF Distributions'!$A$1:$AB$290,MATCH('Bulk Tool'!$A148,'IDF Distributions'!$A$1:$A$290,0),MATCH('Bulk Tool'!B$5,'IDF Distributions'!$A$1:$AB$1,0))*INDEX($N$5:$N$11,MATCH(B$6,$L$5:$L$11,0))*IF($E$2="Depth (mm)",(1),IF($E$2="Intensity (mm/hr)",12,0))</f>
        <v>0.47067942480863389</v>
      </c>
      <c r="C148" s="24">
        <f>INDEX('IDF Distributions'!$A$1:$AB$290,MATCH('Bulk Tool'!$A148,'IDF Distributions'!$A$1:$A$290,0),MATCH('Bulk Tool'!C$5,'IDF Distributions'!$A$1:$AB$1,0))*INDEX($N$5:$N$11,MATCH(C$6,$L$5:$L$11,0))*IF($E$2="Depth (mm)",(1),IF($E$2="Intensity (mm/hr)",12,0))</f>
        <v>0.62763431163791639</v>
      </c>
      <c r="D148" s="24">
        <f>INDEX('IDF Distributions'!$A$1:$AB$290,MATCH('Bulk Tool'!$A148,'IDF Distributions'!$A$1:$A$290,0),MATCH('Bulk Tool'!D$5,'IDF Distributions'!$A$1:$AB$1,0))*INDEX($N$5:$N$11,MATCH(D$6,$L$5:$L$11,0))*IF($E$2="Depth (mm)",(1),IF($E$2="Intensity (mm/hr)",12,0))</f>
        <v>0.7390753763851089</v>
      </c>
      <c r="E148" s="24">
        <f>INDEX('IDF Distributions'!$A$1:$AB$290,MATCH('Bulk Tool'!$A148,'IDF Distributions'!$A$1:$A$290,0),MATCH('Bulk Tool'!E$5,'IDF Distributions'!$A$1:$AB$1,0))*INDEX($N$5:$N$11,MATCH(E$6,$L$5:$L$11,0))*IF($E$2="Depth (mm)",(1),IF($E$2="Intensity (mm/hr)",12,0))</f>
        <v>0.89249633944611095</v>
      </c>
      <c r="F148" s="24">
        <f>INDEX('IDF Distributions'!$A$1:$AB$290,MATCH('Bulk Tool'!$A148,'IDF Distributions'!$A$1:$A$290,0),MATCH('Bulk Tool'!F$5,'IDF Distributions'!$A$1:$AB$1,0))*INDEX($N$5:$N$11,MATCH(F$6,$L$5:$L$11,0))*IF($E$2="Depth (mm)",(1),IF($E$2="Intensity (mm/hr)",12,0))</f>
        <v>1.0135879018264837</v>
      </c>
      <c r="G148" s="24">
        <f>INDEX('IDF Distributions'!$A$1:$AB$290,MATCH('Bulk Tool'!$A148,'IDF Distributions'!$A$1:$A$290,0),MATCH('Bulk Tool'!G$5,'IDF Distributions'!$A$1:$AB$1,0))*INDEX($N$5:$N$11,MATCH(G$6,$L$5:$L$11,0))*IF($E$2="Depth (mm)",(1),IF($E$2="Intensity (mm/hr)",12,0))</f>
        <v>1.1416244142761587</v>
      </c>
      <c r="H148" s="24">
        <f>INDEX('IDF Distributions'!$A$1:$AB$290,MATCH('Bulk Tool'!$A148,'IDF Distributions'!$A$1:$A$290,0),MATCH('Bulk Tool'!H$5,'IDF Distributions'!$A$1:$AB$1,0))*INDEX($N$5:$N$11,MATCH(H$6,$L$5:$L$11,0))*IF($E$2="Depth (mm)",(1),IF($E$2="Intensity (mm/hr)",12,0))</f>
        <v>1.278551217187841</v>
      </c>
      <c r="I148" s="12" t="str">
        <f>IF(COUNTIF($H$7:H148,$H$7)&gt;1,"Do Not Copy","Copy")</f>
        <v>Copy</v>
      </c>
      <c r="L148"/>
      <c r="M148" s="2"/>
    </row>
    <row r="149" spans="1:13" x14ac:dyDescent="0.25">
      <c r="A149" s="128">
        <f t="shared" si="5"/>
        <v>0.4930555555555543</v>
      </c>
      <c r="B149" s="24">
        <f>INDEX('IDF Distributions'!$A$1:$AB$290,MATCH('Bulk Tool'!$A149,'IDF Distributions'!$A$1:$A$290,0),MATCH('Bulk Tool'!B$5,'IDF Distributions'!$A$1:$AB$1,0))*INDEX($N$5:$N$11,MATCH(B$6,$L$5:$L$11,0))*IF($E$2="Depth (mm)",(1),IF($E$2="Intensity (mm/hr)",12,0))</f>
        <v>0.47067942480861735</v>
      </c>
      <c r="C149" s="24">
        <f>INDEX('IDF Distributions'!$A$1:$AB$290,MATCH('Bulk Tool'!$A149,'IDF Distributions'!$A$1:$A$290,0),MATCH('Bulk Tool'!C$5,'IDF Distributions'!$A$1:$AB$1,0))*INDEX($N$5:$N$11,MATCH(C$6,$L$5:$L$11,0))*IF($E$2="Depth (mm)",(1),IF($E$2="Intensity (mm/hr)",12,0))</f>
        <v>0.6276343116378944</v>
      </c>
      <c r="D149" s="24">
        <f>INDEX('IDF Distributions'!$A$1:$AB$290,MATCH('Bulk Tool'!$A149,'IDF Distributions'!$A$1:$A$290,0),MATCH('Bulk Tool'!D$5,'IDF Distributions'!$A$1:$AB$1,0))*INDEX($N$5:$N$11,MATCH(D$6,$L$5:$L$11,0))*IF($E$2="Depth (mm)",(1),IF($E$2="Intensity (mm/hr)",12,0))</f>
        <v>0.73907537638508292</v>
      </c>
      <c r="E149" s="24">
        <f>INDEX('IDF Distributions'!$A$1:$AB$290,MATCH('Bulk Tool'!$A149,'IDF Distributions'!$A$1:$A$290,0),MATCH('Bulk Tool'!E$5,'IDF Distributions'!$A$1:$AB$1,0))*INDEX($N$5:$N$11,MATCH(E$6,$L$5:$L$11,0))*IF($E$2="Depth (mm)",(1),IF($E$2="Intensity (mm/hr)",12,0))</f>
        <v>0.89249633944607965</v>
      </c>
      <c r="F149" s="24">
        <f>INDEX('IDF Distributions'!$A$1:$AB$290,MATCH('Bulk Tool'!$A149,'IDF Distributions'!$A$1:$A$290,0),MATCH('Bulk Tool'!F$5,'IDF Distributions'!$A$1:$AB$1,0))*INDEX($N$5:$N$11,MATCH(F$6,$L$5:$L$11,0))*IF($E$2="Depth (mm)",(1),IF($E$2="Intensity (mm/hr)",12,0))</f>
        <v>1.0135879018264482</v>
      </c>
      <c r="G149" s="24">
        <f>INDEX('IDF Distributions'!$A$1:$AB$290,MATCH('Bulk Tool'!$A149,'IDF Distributions'!$A$1:$A$290,0),MATCH('Bulk Tool'!G$5,'IDF Distributions'!$A$1:$AB$1,0))*INDEX($N$5:$N$11,MATCH(G$6,$L$5:$L$11,0))*IF($E$2="Depth (mm)",(1),IF($E$2="Intensity (mm/hr)",12,0))</f>
        <v>1.1416244142761185</v>
      </c>
      <c r="H149" s="24">
        <f>INDEX('IDF Distributions'!$A$1:$AB$290,MATCH('Bulk Tool'!$A149,'IDF Distributions'!$A$1:$A$290,0),MATCH('Bulk Tool'!H$5,'IDF Distributions'!$A$1:$AB$1,0))*INDEX($N$5:$N$11,MATCH(H$6,$L$5:$L$11,0))*IF($E$2="Depth (mm)",(1),IF($E$2="Intensity (mm/hr)",12,0))</f>
        <v>1.2785512171877964</v>
      </c>
      <c r="I149" s="12" t="str">
        <f>IF(COUNTIF($H$7:H149,$H$7)&gt;1,"Do Not Copy","Copy")</f>
        <v>Copy</v>
      </c>
      <c r="L149"/>
      <c r="M149" s="2"/>
    </row>
    <row r="150" spans="1:13" x14ac:dyDescent="0.25">
      <c r="A150" s="128">
        <f t="shared" si="5"/>
        <v>0.49652777777777651</v>
      </c>
      <c r="B150" s="24">
        <f>INDEX('IDF Distributions'!$A$1:$AB$290,MATCH('Bulk Tool'!$A150,'IDF Distributions'!$A$1:$A$290,0),MATCH('Bulk Tool'!B$5,'IDF Distributions'!$A$1:$AB$1,0))*INDEX($N$5:$N$11,MATCH(B$6,$L$5:$L$11,0))*IF($E$2="Depth (mm)",(1),IF($E$2="Intensity (mm/hr)",12,0))</f>
        <v>0.46572490454747451</v>
      </c>
      <c r="C150" s="24">
        <f>INDEX('IDF Distributions'!$A$1:$AB$290,MATCH('Bulk Tool'!$A150,'IDF Distributions'!$A$1:$A$290,0),MATCH('Bulk Tool'!C$5,'IDF Distributions'!$A$1:$AB$1,0))*INDEX($N$5:$N$11,MATCH(C$6,$L$5:$L$11,0))*IF($E$2="Depth (mm)",(1),IF($E$2="Intensity (mm/hr)",12,0))</f>
        <v>0.6210276346732857</v>
      </c>
      <c r="D150" s="24">
        <f>INDEX('IDF Distributions'!$A$1:$AB$290,MATCH('Bulk Tool'!$A150,'IDF Distributions'!$A$1:$A$290,0),MATCH('Bulk Tool'!D$5,'IDF Distributions'!$A$1:$AB$1,0))*INDEX($N$5:$N$11,MATCH(D$6,$L$5:$L$11,0))*IF($E$2="Depth (mm)",(1),IF($E$2="Intensity (mm/hr)",12,0))</f>
        <v>0.73129563558103028</v>
      </c>
      <c r="E150" s="24">
        <f>INDEX('IDF Distributions'!$A$1:$AB$290,MATCH('Bulk Tool'!$A150,'IDF Distributions'!$A$1:$A$290,0),MATCH('Bulk Tool'!E$5,'IDF Distributions'!$A$1:$AB$1,0))*INDEX($N$5:$N$11,MATCH(E$6,$L$5:$L$11,0))*IF($E$2="Depth (mm)",(1),IF($E$2="Intensity (mm/hr)",12,0))</f>
        <v>0.88310164113612188</v>
      </c>
      <c r="F150" s="24">
        <f>INDEX('IDF Distributions'!$A$1:$AB$290,MATCH('Bulk Tool'!$A150,'IDF Distributions'!$A$1:$A$290,0),MATCH('Bulk Tool'!F$5,'IDF Distributions'!$A$1:$AB$1,0))*INDEX($N$5:$N$11,MATCH(F$6,$L$5:$L$11,0))*IF($E$2="Depth (mm)",(1),IF($E$2="Intensity (mm/hr)",12,0))</f>
        <v>1.0029185554914339</v>
      </c>
      <c r="G150" s="24">
        <f>INDEX('IDF Distributions'!$A$1:$AB$290,MATCH('Bulk Tool'!$A150,'IDF Distributions'!$A$1:$A$290,0),MATCH('Bulk Tool'!G$5,'IDF Distributions'!$A$1:$AB$1,0))*INDEX($N$5:$N$11,MATCH(G$6,$L$5:$L$11,0))*IF($E$2="Depth (mm)",(1),IF($E$2="Intensity (mm/hr)",12,0))</f>
        <v>1.1296073151784767</v>
      </c>
      <c r="H150" s="24">
        <f>INDEX('IDF Distributions'!$A$1:$AB$290,MATCH('Bulk Tool'!$A150,'IDF Distributions'!$A$1:$A$290,0),MATCH('Bulk Tool'!H$5,'IDF Distributions'!$A$1:$AB$1,0))*INDEX($N$5:$N$11,MATCH(H$6,$L$5:$L$11,0))*IF($E$2="Depth (mm)",(1),IF($E$2="Intensity (mm/hr)",12,0))</f>
        <v>1.2650927833226631</v>
      </c>
      <c r="I150" s="12" t="str">
        <f>IF(COUNTIF($H$7:H150,$H$7)&gt;1,"Do Not Copy","Copy")</f>
        <v>Copy</v>
      </c>
      <c r="L150"/>
      <c r="M150" s="2"/>
    </row>
    <row r="151" spans="1:13" x14ac:dyDescent="0.25">
      <c r="A151" s="128">
        <f t="shared" si="5"/>
        <v>0.49999999999999872</v>
      </c>
      <c r="B151" s="24">
        <f>INDEX('IDF Distributions'!$A$1:$AB$290,MATCH('Bulk Tool'!$A151,'IDF Distributions'!$A$1:$A$290,0),MATCH('Bulk Tool'!B$5,'IDF Distributions'!$A$1:$AB$1,0))*INDEX($N$5:$N$11,MATCH(B$6,$L$5:$L$11,0))*IF($E$2="Depth (mm)",(1),IF($E$2="Intensity (mm/hr)",12,0))</f>
        <v>0.45829312415576035</v>
      </c>
      <c r="C151" s="24">
        <f>INDEX('IDF Distributions'!$A$1:$AB$290,MATCH('Bulk Tool'!$A151,'IDF Distributions'!$A$1:$A$290,0),MATCH('Bulk Tool'!C$5,'IDF Distributions'!$A$1:$AB$1,0))*INDEX($N$5:$N$11,MATCH(C$6,$L$5:$L$11,0))*IF($E$2="Depth (mm)",(1),IF($E$2="Intensity (mm/hr)",12,0))</f>
        <v>0.61111761922637253</v>
      </c>
      <c r="D151" s="24">
        <f>INDEX('IDF Distributions'!$A$1:$AB$290,MATCH('Bulk Tool'!$A151,'IDF Distributions'!$A$1:$A$290,0),MATCH('Bulk Tool'!D$5,'IDF Distributions'!$A$1:$AB$1,0))*INDEX($N$5:$N$11,MATCH(D$6,$L$5:$L$11,0))*IF($E$2="Depth (mm)",(1),IF($E$2="Intensity (mm/hr)",12,0))</f>
        <v>0.71962602437495127</v>
      </c>
      <c r="E151" s="24">
        <f>INDEX('IDF Distributions'!$A$1:$AB$290,MATCH('Bulk Tool'!$A151,'IDF Distributions'!$A$1:$A$290,0),MATCH('Bulk Tool'!E$5,'IDF Distributions'!$A$1:$AB$1,0))*INDEX($N$5:$N$11,MATCH(E$6,$L$5:$L$11,0))*IF($E$2="Depth (mm)",(1),IF($E$2="Intensity (mm/hr)",12,0))</f>
        <v>0.86900959367118535</v>
      </c>
      <c r="F151" s="24">
        <f>INDEX('IDF Distributions'!$A$1:$AB$290,MATCH('Bulk Tool'!$A151,'IDF Distributions'!$A$1:$A$290,0),MATCH('Bulk Tool'!F$5,'IDF Distributions'!$A$1:$AB$1,0))*INDEX($N$5:$N$11,MATCH(F$6,$L$5:$L$11,0))*IF($E$2="Depth (mm)",(1),IF($E$2="Intensity (mm/hr)",12,0))</f>
        <v>0.98691453598891288</v>
      </c>
      <c r="G151" s="24">
        <f>INDEX('IDF Distributions'!$A$1:$AB$290,MATCH('Bulk Tool'!$A151,'IDF Distributions'!$A$1:$A$290,0),MATCH('Bulk Tool'!G$5,'IDF Distributions'!$A$1:$AB$1,0))*INDEX($N$5:$N$11,MATCH(G$6,$L$5:$L$11,0))*IF($E$2="Depth (mm)",(1),IF($E$2="Intensity (mm/hr)",12,0))</f>
        <v>1.1115816665320133</v>
      </c>
      <c r="H151" s="24">
        <f>INDEX('IDF Distributions'!$A$1:$AB$290,MATCH('Bulk Tool'!$A151,'IDF Distributions'!$A$1:$A$290,0),MATCH('Bulk Tool'!H$5,'IDF Distributions'!$A$1:$AB$1,0))*INDEX($N$5:$N$11,MATCH(H$6,$L$5:$L$11,0))*IF($E$2="Depth (mm)",(1),IF($E$2="Intensity (mm/hr)",12,0))</f>
        <v>1.2449051325249632</v>
      </c>
      <c r="I151" s="12" t="str">
        <f>IF(COUNTIF($H$7:H151,$H$7)&gt;1,"Do Not Copy","Copy")</f>
        <v>Copy</v>
      </c>
      <c r="L151"/>
      <c r="M151" s="2"/>
    </row>
    <row r="152" spans="1:13" x14ac:dyDescent="0.25">
      <c r="A152" s="128">
        <f t="shared" si="5"/>
        <v>0.50347222222222099</v>
      </c>
      <c r="B152" s="24">
        <f>INDEX('IDF Distributions'!$A$1:$AB$290,MATCH('Bulk Tool'!$A152,'IDF Distributions'!$A$1:$A$290,0),MATCH('Bulk Tool'!B$5,'IDF Distributions'!$A$1:$AB$1,0))*INDEX($N$5:$N$11,MATCH(B$6,$L$5:$L$11,0))*IF($E$2="Depth (mm)",(1),IF($E$2="Intensity (mm/hr)",12,0))</f>
        <v>0.45829312415576035</v>
      </c>
      <c r="C152" s="24">
        <f>INDEX('IDF Distributions'!$A$1:$AB$290,MATCH('Bulk Tool'!$A152,'IDF Distributions'!$A$1:$A$290,0),MATCH('Bulk Tool'!C$5,'IDF Distributions'!$A$1:$AB$1,0))*INDEX($N$5:$N$11,MATCH(C$6,$L$5:$L$11,0))*IF($E$2="Depth (mm)",(1),IF($E$2="Intensity (mm/hr)",12,0))</f>
        <v>0.61111761922637253</v>
      </c>
      <c r="D152" s="24">
        <f>INDEX('IDF Distributions'!$A$1:$AB$290,MATCH('Bulk Tool'!$A152,'IDF Distributions'!$A$1:$A$290,0),MATCH('Bulk Tool'!D$5,'IDF Distributions'!$A$1:$AB$1,0))*INDEX($N$5:$N$11,MATCH(D$6,$L$5:$L$11,0))*IF($E$2="Depth (mm)",(1),IF($E$2="Intensity (mm/hr)",12,0))</f>
        <v>0.71962602437495127</v>
      </c>
      <c r="E152" s="24">
        <f>INDEX('IDF Distributions'!$A$1:$AB$290,MATCH('Bulk Tool'!$A152,'IDF Distributions'!$A$1:$A$290,0),MATCH('Bulk Tool'!E$5,'IDF Distributions'!$A$1:$AB$1,0))*INDEX($N$5:$N$11,MATCH(E$6,$L$5:$L$11,0))*IF($E$2="Depth (mm)",(1),IF($E$2="Intensity (mm/hr)",12,0))</f>
        <v>0.86900959367118535</v>
      </c>
      <c r="F152" s="24">
        <f>INDEX('IDF Distributions'!$A$1:$AB$290,MATCH('Bulk Tool'!$A152,'IDF Distributions'!$A$1:$A$290,0),MATCH('Bulk Tool'!F$5,'IDF Distributions'!$A$1:$AB$1,0))*INDEX($N$5:$N$11,MATCH(F$6,$L$5:$L$11,0))*IF($E$2="Depth (mm)",(1),IF($E$2="Intensity (mm/hr)",12,0))</f>
        <v>0.98691453598891288</v>
      </c>
      <c r="G152" s="24">
        <f>INDEX('IDF Distributions'!$A$1:$AB$290,MATCH('Bulk Tool'!$A152,'IDF Distributions'!$A$1:$A$290,0),MATCH('Bulk Tool'!G$5,'IDF Distributions'!$A$1:$AB$1,0))*INDEX($N$5:$N$11,MATCH(G$6,$L$5:$L$11,0))*IF($E$2="Depth (mm)",(1),IF($E$2="Intensity (mm/hr)",12,0))</f>
        <v>1.1115816665320133</v>
      </c>
      <c r="H152" s="24">
        <f>INDEX('IDF Distributions'!$A$1:$AB$290,MATCH('Bulk Tool'!$A152,'IDF Distributions'!$A$1:$A$290,0),MATCH('Bulk Tool'!H$5,'IDF Distributions'!$A$1:$AB$1,0))*INDEX($N$5:$N$11,MATCH(H$6,$L$5:$L$11,0))*IF($E$2="Depth (mm)",(1),IF($E$2="Intensity (mm/hr)",12,0))</f>
        <v>1.2449051325249632</v>
      </c>
      <c r="I152" s="12" t="str">
        <f>IF(COUNTIF($H$7:H152,$H$7)&gt;1,"Do Not Copy","Copy")</f>
        <v>Copy</v>
      </c>
      <c r="L152"/>
      <c r="M152" s="2"/>
    </row>
    <row r="153" spans="1:13" x14ac:dyDescent="0.25">
      <c r="A153" s="128">
        <f t="shared" si="5"/>
        <v>0.5069444444444432</v>
      </c>
      <c r="B153" s="24">
        <f>INDEX('IDF Distributions'!$A$1:$AB$290,MATCH('Bulk Tool'!$A153,'IDF Distributions'!$A$1:$A$290,0),MATCH('Bulk Tool'!B$5,'IDF Distributions'!$A$1:$AB$1,0))*INDEX($N$5:$N$11,MATCH(B$6,$L$5:$L$11,0))*IF($E$2="Depth (mm)",(1),IF($E$2="Intensity (mm/hr)",12,0))</f>
        <v>0.47067942480861735</v>
      </c>
      <c r="C153" s="24">
        <f>INDEX('IDF Distributions'!$A$1:$AB$290,MATCH('Bulk Tool'!$A153,'IDF Distributions'!$A$1:$A$290,0),MATCH('Bulk Tool'!C$5,'IDF Distributions'!$A$1:$AB$1,0))*INDEX($N$5:$N$11,MATCH(C$6,$L$5:$L$11,0))*IF($E$2="Depth (mm)",(1),IF($E$2="Intensity (mm/hr)",12,0))</f>
        <v>0.6276343116378944</v>
      </c>
      <c r="D153" s="24">
        <f>INDEX('IDF Distributions'!$A$1:$AB$290,MATCH('Bulk Tool'!$A153,'IDF Distributions'!$A$1:$A$290,0),MATCH('Bulk Tool'!D$5,'IDF Distributions'!$A$1:$AB$1,0))*INDEX($N$5:$N$11,MATCH(D$6,$L$5:$L$11,0))*IF($E$2="Depth (mm)",(1),IF($E$2="Intensity (mm/hr)",12,0))</f>
        <v>0.73907537638508292</v>
      </c>
      <c r="E153" s="24">
        <f>INDEX('IDF Distributions'!$A$1:$AB$290,MATCH('Bulk Tool'!$A153,'IDF Distributions'!$A$1:$A$290,0),MATCH('Bulk Tool'!E$5,'IDF Distributions'!$A$1:$AB$1,0))*INDEX($N$5:$N$11,MATCH(E$6,$L$5:$L$11,0))*IF($E$2="Depth (mm)",(1),IF($E$2="Intensity (mm/hr)",12,0))</f>
        <v>0.89249633944607965</v>
      </c>
      <c r="F153" s="24">
        <f>INDEX('IDF Distributions'!$A$1:$AB$290,MATCH('Bulk Tool'!$A153,'IDF Distributions'!$A$1:$A$290,0),MATCH('Bulk Tool'!F$5,'IDF Distributions'!$A$1:$AB$1,0))*INDEX($N$5:$N$11,MATCH(F$6,$L$5:$L$11,0))*IF($E$2="Depth (mm)",(1),IF($E$2="Intensity (mm/hr)",12,0))</f>
        <v>1.0135879018264482</v>
      </c>
      <c r="G153" s="24">
        <f>INDEX('IDF Distributions'!$A$1:$AB$290,MATCH('Bulk Tool'!$A153,'IDF Distributions'!$A$1:$A$290,0),MATCH('Bulk Tool'!G$5,'IDF Distributions'!$A$1:$AB$1,0))*INDEX($N$5:$N$11,MATCH(G$6,$L$5:$L$11,0))*IF($E$2="Depth (mm)",(1),IF($E$2="Intensity (mm/hr)",12,0))</f>
        <v>1.1416244142761185</v>
      </c>
      <c r="H153" s="24">
        <f>INDEX('IDF Distributions'!$A$1:$AB$290,MATCH('Bulk Tool'!$A153,'IDF Distributions'!$A$1:$A$290,0),MATCH('Bulk Tool'!H$5,'IDF Distributions'!$A$1:$AB$1,0))*INDEX($N$5:$N$11,MATCH(H$6,$L$5:$L$11,0))*IF($E$2="Depth (mm)",(1),IF($E$2="Intensity (mm/hr)",12,0))</f>
        <v>1.2785512171877964</v>
      </c>
      <c r="I153" s="12" t="str">
        <f>IF(COUNTIF($H$7:H153,$H$7)&gt;1,"Do Not Copy","Copy")</f>
        <v>Copy</v>
      </c>
      <c r="L153"/>
      <c r="M153" s="2"/>
    </row>
    <row r="154" spans="1:13" x14ac:dyDescent="0.25">
      <c r="A154" s="128">
        <f t="shared" si="5"/>
        <v>0.51041666666666541</v>
      </c>
      <c r="B154" s="24">
        <f>INDEX('IDF Distributions'!$A$1:$AB$290,MATCH('Bulk Tool'!$A154,'IDF Distributions'!$A$1:$A$290,0),MATCH('Bulk Tool'!B$5,'IDF Distributions'!$A$1:$AB$1,0))*INDEX($N$5:$N$11,MATCH(B$6,$L$5:$L$11,0))*IF($E$2="Depth (mm)",(1),IF($E$2="Intensity (mm/hr)",12,0))</f>
        <v>0.47067942480863389</v>
      </c>
      <c r="C154" s="24">
        <f>INDEX('IDF Distributions'!$A$1:$AB$290,MATCH('Bulk Tool'!$A154,'IDF Distributions'!$A$1:$A$290,0),MATCH('Bulk Tool'!C$5,'IDF Distributions'!$A$1:$AB$1,0))*INDEX($N$5:$N$11,MATCH(C$6,$L$5:$L$11,0))*IF($E$2="Depth (mm)",(1),IF($E$2="Intensity (mm/hr)",12,0))</f>
        <v>0.62763431163791639</v>
      </c>
      <c r="D154" s="24">
        <f>INDEX('IDF Distributions'!$A$1:$AB$290,MATCH('Bulk Tool'!$A154,'IDF Distributions'!$A$1:$A$290,0),MATCH('Bulk Tool'!D$5,'IDF Distributions'!$A$1:$AB$1,0))*INDEX($N$5:$N$11,MATCH(D$6,$L$5:$L$11,0))*IF($E$2="Depth (mm)",(1),IF($E$2="Intensity (mm/hr)",12,0))</f>
        <v>0.7390753763851089</v>
      </c>
      <c r="E154" s="24">
        <f>INDEX('IDF Distributions'!$A$1:$AB$290,MATCH('Bulk Tool'!$A154,'IDF Distributions'!$A$1:$A$290,0),MATCH('Bulk Tool'!E$5,'IDF Distributions'!$A$1:$AB$1,0))*INDEX($N$5:$N$11,MATCH(E$6,$L$5:$L$11,0))*IF($E$2="Depth (mm)",(1),IF($E$2="Intensity (mm/hr)",12,0))</f>
        <v>0.89249633944611095</v>
      </c>
      <c r="F154" s="24">
        <f>INDEX('IDF Distributions'!$A$1:$AB$290,MATCH('Bulk Tool'!$A154,'IDF Distributions'!$A$1:$A$290,0),MATCH('Bulk Tool'!F$5,'IDF Distributions'!$A$1:$AB$1,0))*INDEX($N$5:$N$11,MATCH(F$6,$L$5:$L$11,0))*IF($E$2="Depth (mm)",(1),IF($E$2="Intensity (mm/hr)",12,0))</f>
        <v>1.0135879018264837</v>
      </c>
      <c r="G154" s="24">
        <f>INDEX('IDF Distributions'!$A$1:$AB$290,MATCH('Bulk Tool'!$A154,'IDF Distributions'!$A$1:$A$290,0),MATCH('Bulk Tool'!G$5,'IDF Distributions'!$A$1:$AB$1,0))*INDEX($N$5:$N$11,MATCH(G$6,$L$5:$L$11,0))*IF($E$2="Depth (mm)",(1),IF($E$2="Intensity (mm/hr)",12,0))</f>
        <v>1.1416244142761587</v>
      </c>
      <c r="H154" s="24">
        <f>INDEX('IDF Distributions'!$A$1:$AB$290,MATCH('Bulk Tool'!$A154,'IDF Distributions'!$A$1:$A$290,0),MATCH('Bulk Tool'!H$5,'IDF Distributions'!$A$1:$AB$1,0))*INDEX($N$5:$N$11,MATCH(H$6,$L$5:$L$11,0))*IF($E$2="Depth (mm)",(1),IF($E$2="Intensity (mm/hr)",12,0))</f>
        <v>1.278551217187841</v>
      </c>
      <c r="I154" s="12" t="str">
        <f>IF(COUNTIF($H$7:H154,$H$7)&gt;1,"Do Not Copy","Copy")</f>
        <v>Copy</v>
      </c>
      <c r="L154"/>
      <c r="M154" s="2"/>
    </row>
    <row r="155" spans="1:13" x14ac:dyDescent="0.25">
      <c r="A155" s="128">
        <f t="shared" si="5"/>
        <v>0.51388888888888762</v>
      </c>
      <c r="B155" s="24">
        <f>INDEX('IDF Distributions'!$A$1:$AB$290,MATCH('Bulk Tool'!$A155,'IDF Distributions'!$A$1:$A$290,0),MATCH('Bulk Tool'!B$5,'IDF Distributions'!$A$1:$AB$1,0))*INDEX($N$5:$N$11,MATCH(B$6,$L$5:$L$11,0))*IF($E$2="Depth (mm)",(1),IF($E$2="Intensity (mm/hr)",12,0))</f>
        <v>0.47067942480861735</v>
      </c>
      <c r="C155" s="24">
        <f>INDEX('IDF Distributions'!$A$1:$AB$290,MATCH('Bulk Tool'!$A155,'IDF Distributions'!$A$1:$A$290,0),MATCH('Bulk Tool'!C$5,'IDF Distributions'!$A$1:$AB$1,0))*INDEX($N$5:$N$11,MATCH(C$6,$L$5:$L$11,0))*IF($E$2="Depth (mm)",(1),IF($E$2="Intensity (mm/hr)",12,0))</f>
        <v>0.6276343116378944</v>
      </c>
      <c r="D155" s="24">
        <f>INDEX('IDF Distributions'!$A$1:$AB$290,MATCH('Bulk Tool'!$A155,'IDF Distributions'!$A$1:$A$290,0),MATCH('Bulk Tool'!D$5,'IDF Distributions'!$A$1:$AB$1,0))*INDEX($N$5:$N$11,MATCH(D$6,$L$5:$L$11,0))*IF($E$2="Depth (mm)",(1),IF($E$2="Intensity (mm/hr)",12,0))</f>
        <v>0.73907537638508292</v>
      </c>
      <c r="E155" s="24">
        <f>INDEX('IDF Distributions'!$A$1:$AB$290,MATCH('Bulk Tool'!$A155,'IDF Distributions'!$A$1:$A$290,0),MATCH('Bulk Tool'!E$5,'IDF Distributions'!$A$1:$AB$1,0))*INDEX($N$5:$N$11,MATCH(E$6,$L$5:$L$11,0))*IF($E$2="Depth (mm)",(1),IF($E$2="Intensity (mm/hr)",12,0))</f>
        <v>0.89249633944607965</v>
      </c>
      <c r="F155" s="24">
        <f>INDEX('IDF Distributions'!$A$1:$AB$290,MATCH('Bulk Tool'!$A155,'IDF Distributions'!$A$1:$A$290,0),MATCH('Bulk Tool'!F$5,'IDF Distributions'!$A$1:$AB$1,0))*INDEX($N$5:$N$11,MATCH(F$6,$L$5:$L$11,0))*IF($E$2="Depth (mm)",(1),IF($E$2="Intensity (mm/hr)",12,0))</f>
        <v>1.0135879018264482</v>
      </c>
      <c r="G155" s="24">
        <f>INDEX('IDF Distributions'!$A$1:$AB$290,MATCH('Bulk Tool'!$A155,'IDF Distributions'!$A$1:$A$290,0),MATCH('Bulk Tool'!G$5,'IDF Distributions'!$A$1:$AB$1,0))*INDEX($N$5:$N$11,MATCH(G$6,$L$5:$L$11,0))*IF($E$2="Depth (mm)",(1),IF($E$2="Intensity (mm/hr)",12,0))</f>
        <v>1.1416244142761185</v>
      </c>
      <c r="H155" s="24">
        <f>INDEX('IDF Distributions'!$A$1:$AB$290,MATCH('Bulk Tool'!$A155,'IDF Distributions'!$A$1:$A$290,0),MATCH('Bulk Tool'!H$5,'IDF Distributions'!$A$1:$AB$1,0))*INDEX($N$5:$N$11,MATCH(H$6,$L$5:$L$11,0))*IF($E$2="Depth (mm)",(1),IF($E$2="Intensity (mm/hr)",12,0))</f>
        <v>1.2785512171877964</v>
      </c>
      <c r="I155" s="12" t="str">
        <f>IF(COUNTIF($H$7:H155,$H$7)&gt;1,"Do Not Copy","Copy")</f>
        <v>Copy</v>
      </c>
      <c r="L155"/>
      <c r="M155" s="2"/>
    </row>
    <row r="156" spans="1:13" x14ac:dyDescent="0.25">
      <c r="A156" s="128">
        <f t="shared" si="5"/>
        <v>0.51736111111110983</v>
      </c>
      <c r="B156" s="24">
        <f>INDEX('IDF Distributions'!$A$1:$AB$290,MATCH('Bulk Tool'!$A156,'IDF Distributions'!$A$1:$A$290,0),MATCH('Bulk Tool'!B$5,'IDF Distributions'!$A$1:$AB$1,0))*INDEX($N$5:$N$11,MATCH(B$6,$L$5:$L$11,0))*IF($E$2="Depth (mm)",(1),IF($E$2="Intensity (mm/hr)",12,0))</f>
        <v>0.47563394506976014</v>
      </c>
      <c r="C156" s="24">
        <f>INDEX('IDF Distributions'!$A$1:$AB$290,MATCH('Bulk Tool'!$A156,'IDF Distributions'!$A$1:$A$290,0),MATCH('Bulk Tool'!C$5,'IDF Distributions'!$A$1:$AB$1,0))*INDEX($N$5:$N$11,MATCH(C$6,$L$5:$L$11,0))*IF($E$2="Depth (mm)",(1),IF($E$2="Intensity (mm/hr)",12,0))</f>
        <v>0.63424098860250311</v>
      </c>
      <c r="D156" s="24">
        <f>INDEX('IDF Distributions'!$A$1:$AB$290,MATCH('Bulk Tool'!$A156,'IDF Distributions'!$A$1:$A$290,0),MATCH('Bulk Tool'!D$5,'IDF Distributions'!$A$1:$AB$1,0))*INDEX($N$5:$N$11,MATCH(D$6,$L$5:$L$11,0))*IF($E$2="Depth (mm)",(1),IF($E$2="Intensity (mm/hr)",12,0))</f>
        <v>0.74685511718913555</v>
      </c>
      <c r="E156" s="24">
        <f>INDEX('IDF Distributions'!$A$1:$AB$290,MATCH('Bulk Tool'!$A156,'IDF Distributions'!$A$1:$A$290,0),MATCH('Bulk Tool'!E$5,'IDF Distributions'!$A$1:$AB$1,0))*INDEX($N$5:$N$11,MATCH(E$6,$L$5:$L$11,0))*IF($E$2="Depth (mm)",(1),IF($E$2="Intensity (mm/hr)",12,0))</f>
        <v>0.90189103775603741</v>
      </c>
      <c r="F156" s="24">
        <f>INDEX('IDF Distributions'!$A$1:$AB$290,MATCH('Bulk Tool'!$A156,'IDF Distributions'!$A$1:$A$290,0),MATCH('Bulk Tool'!F$5,'IDF Distributions'!$A$1:$AB$1,0))*INDEX($N$5:$N$11,MATCH(F$6,$L$5:$L$11,0))*IF($E$2="Depth (mm)",(1),IF($E$2="Intensity (mm/hr)",12,0))</f>
        <v>1.0242572481614622</v>
      </c>
      <c r="G156" s="24">
        <f>INDEX('IDF Distributions'!$A$1:$AB$290,MATCH('Bulk Tool'!$A156,'IDF Distributions'!$A$1:$A$290,0),MATCH('Bulk Tool'!G$5,'IDF Distributions'!$A$1:$AB$1,0))*INDEX($N$5:$N$11,MATCH(G$6,$L$5:$L$11,0))*IF($E$2="Depth (mm)",(1),IF($E$2="Intensity (mm/hr)",12,0))</f>
        <v>1.1536415133737608</v>
      </c>
      <c r="H156" s="24">
        <f>INDEX('IDF Distributions'!$A$1:$AB$290,MATCH('Bulk Tool'!$A156,'IDF Distributions'!$A$1:$A$290,0),MATCH('Bulk Tool'!H$5,'IDF Distributions'!$A$1:$AB$1,0))*INDEX($N$5:$N$11,MATCH(H$6,$L$5:$L$11,0))*IF($E$2="Depth (mm)",(1),IF($E$2="Intensity (mm/hr)",12,0))</f>
        <v>1.2920096510529295</v>
      </c>
      <c r="I156" s="12" t="str">
        <f>IF(COUNTIF($H$7:H156,$H$7)&gt;1,"Do Not Copy","Copy")</f>
        <v>Copy</v>
      </c>
      <c r="L156"/>
      <c r="M156" s="2"/>
    </row>
    <row r="157" spans="1:13" x14ac:dyDescent="0.25">
      <c r="A157" s="128">
        <f t="shared" si="5"/>
        <v>0.52083333333333204</v>
      </c>
      <c r="B157" s="24">
        <f>INDEX('IDF Distributions'!$A$1:$AB$290,MATCH('Bulk Tool'!$A157,'IDF Distributions'!$A$1:$A$290,0),MATCH('Bulk Tool'!B$5,'IDF Distributions'!$A$1:$AB$1,0))*INDEX($N$5:$N$11,MATCH(B$6,$L$5:$L$11,0))*IF($E$2="Depth (mm)",(1),IF($E$2="Intensity (mm/hr)",12,0))</f>
        <v>0.47563394506976014</v>
      </c>
      <c r="C157" s="24">
        <f>INDEX('IDF Distributions'!$A$1:$AB$290,MATCH('Bulk Tool'!$A157,'IDF Distributions'!$A$1:$A$290,0),MATCH('Bulk Tool'!C$5,'IDF Distributions'!$A$1:$AB$1,0))*INDEX($N$5:$N$11,MATCH(C$6,$L$5:$L$11,0))*IF($E$2="Depth (mm)",(1),IF($E$2="Intensity (mm/hr)",12,0))</f>
        <v>0.63424098860250311</v>
      </c>
      <c r="D157" s="24">
        <f>INDEX('IDF Distributions'!$A$1:$AB$290,MATCH('Bulk Tool'!$A157,'IDF Distributions'!$A$1:$A$290,0),MATCH('Bulk Tool'!D$5,'IDF Distributions'!$A$1:$AB$1,0))*INDEX($N$5:$N$11,MATCH(D$6,$L$5:$L$11,0))*IF($E$2="Depth (mm)",(1),IF($E$2="Intensity (mm/hr)",12,0))</f>
        <v>0.74685511718913555</v>
      </c>
      <c r="E157" s="24">
        <f>INDEX('IDF Distributions'!$A$1:$AB$290,MATCH('Bulk Tool'!$A157,'IDF Distributions'!$A$1:$A$290,0),MATCH('Bulk Tool'!E$5,'IDF Distributions'!$A$1:$AB$1,0))*INDEX($N$5:$N$11,MATCH(E$6,$L$5:$L$11,0))*IF($E$2="Depth (mm)",(1),IF($E$2="Intensity (mm/hr)",12,0))</f>
        <v>0.90189103775603741</v>
      </c>
      <c r="F157" s="24">
        <f>INDEX('IDF Distributions'!$A$1:$AB$290,MATCH('Bulk Tool'!$A157,'IDF Distributions'!$A$1:$A$290,0),MATCH('Bulk Tool'!F$5,'IDF Distributions'!$A$1:$AB$1,0))*INDEX($N$5:$N$11,MATCH(F$6,$L$5:$L$11,0))*IF($E$2="Depth (mm)",(1),IF($E$2="Intensity (mm/hr)",12,0))</f>
        <v>1.0242572481614622</v>
      </c>
      <c r="G157" s="24">
        <f>INDEX('IDF Distributions'!$A$1:$AB$290,MATCH('Bulk Tool'!$A157,'IDF Distributions'!$A$1:$A$290,0),MATCH('Bulk Tool'!G$5,'IDF Distributions'!$A$1:$AB$1,0))*INDEX($N$5:$N$11,MATCH(G$6,$L$5:$L$11,0))*IF($E$2="Depth (mm)",(1),IF($E$2="Intensity (mm/hr)",12,0))</f>
        <v>1.1536415133737608</v>
      </c>
      <c r="H157" s="24">
        <f>INDEX('IDF Distributions'!$A$1:$AB$290,MATCH('Bulk Tool'!$A157,'IDF Distributions'!$A$1:$A$290,0),MATCH('Bulk Tool'!H$5,'IDF Distributions'!$A$1:$AB$1,0))*INDEX($N$5:$N$11,MATCH(H$6,$L$5:$L$11,0))*IF($E$2="Depth (mm)",(1),IF($E$2="Intensity (mm/hr)",12,0))</f>
        <v>1.2920096510529295</v>
      </c>
      <c r="I157" s="12" t="str">
        <f>IF(COUNTIF($H$7:H157,$H$7)&gt;1,"Do Not Copy","Copy")</f>
        <v>Copy</v>
      </c>
      <c r="L157"/>
      <c r="M157" s="2"/>
    </row>
    <row r="158" spans="1:13" x14ac:dyDescent="0.25">
      <c r="A158" s="128">
        <f t="shared" si="5"/>
        <v>0.52430555555555425</v>
      </c>
      <c r="B158" s="24">
        <f>INDEX('IDF Distributions'!$A$1:$AB$290,MATCH('Bulk Tool'!$A158,'IDF Distributions'!$A$1:$A$290,0),MATCH('Bulk Tool'!B$5,'IDF Distributions'!$A$1:$AB$1,0))*INDEX($N$5:$N$11,MATCH(B$6,$L$5:$L$11,0))*IF($E$2="Depth (mm)",(1),IF($E$2="Intensity (mm/hr)",12,0))</f>
        <v>0.44590682350290323</v>
      </c>
      <c r="C158" s="24">
        <f>INDEX('IDF Distributions'!$A$1:$AB$290,MATCH('Bulk Tool'!$A158,'IDF Distributions'!$A$1:$A$290,0),MATCH('Bulk Tool'!C$5,'IDF Distributions'!$A$1:$AB$1,0))*INDEX($N$5:$N$11,MATCH(C$6,$L$5:$L$11,0))*IF($E$2="Depth (mm)",(1),IF($E$2="Intensity (mm/hr)",12,0))</f>
        <v>0.59460092681485077</v>
      </c>
      <c r="D158" s="24">
        <f>INDEX('IDF Distributions'!$A$1:$AB$290,MATCH('Bulk Tool'!$A158,'IDF Distributions'!$A$1:$A$290,0),MATCH('Bulk Tool'!D$5,'IDF Distributions'!$A$1:$AB$1,0))*INDEX($N$5:$N$11,MATCH(D$6,$L$5:$L$11,0))*IF($E$2="Depth (mm)",(1),IF($E$2="Intensity (mm/hr)",12,0))</f>
        <v>0.70017667236481951</v>
      </c>
      <c r="E158" s="24">
        <f>INDEX('IDF Distributions'!$A$1:$AB$290,MATCH('Bulk Tool'!$A158,'IDF Distributions'!$A$1:$A$290,0),MATCH('Bulk Tool'!E$5,'IDF Distributions'!$A$1:$AB$1,0))*INDEX($N$5:$N$11,MATCH(E$6,$L$5:$L$11,0))*IF($E$2="Depth (mm)",(1),IF($E$2="Intensity (mm/hr)",12,0))</f>
        <v>0.84552284789629084</v>
      </c>
      <c r="F158" s="24">
        <f>INDEX('IDF Distributions'!$A$1:$AB$290,MATCH('Bulk Tool'!$A158,'IDF Distributions'!$A$1:$A$290,0),MATCH('Bulk Tool'!F$5,'IDF Distributions'!$A$1:$AB$1,0))*INDEX($N$5:$N$11,MATCH(F$6,$L$5:$L$11,0))*IF($E$2="Depth (mm)",(1),IF($E$2="Intensity (mm/hr)",12,0))</f>
        <v>0.96024117015137755</v>
      </c>
      <c r="G158" s="24">
        <f>INDEX('IDF Distributions'!$A$1:$AB$290,MATCH('Bulk Tool'!$A158,'IDF Distributions'!$A$1:$A$290,0),MATCH('Bulk Tool'!G$5,'IDF Distributions'!$A$1:$AB$1,0))*INDEX($N$5:$N$11,MATCH(G$6,$L$5:$L$11,0))*IF($E$2="Depth (mm)",(1),IF($E$2="Intensity (mm/hr)",12,0))</f>
        <v>1.0815389187879081</v>
      </c>
      <c r="H158" s="24">
        <f>INDEX('IDF Distributions'!$A$1:$AB$290,MATCH('Bulk Tool'!$A158,'IDF Distributions'!$A$1:$A$290,0),MATCH('Bulk Tool'!H$5,'IDF Distributions'!$A$1:$AB$1,0))*INDEX($N$5:$N$11,MATCH(H$6,$L$5:$L$11,0))*IF($E$2="Depth (mm)",(1),IF($E$2="Intensity (mm/hr)",12,0))</f>
        <v>1.2112590478621299</v>
      </c>
      <c r="I158" s="12" t="str">
        <f>IF(COUNTIF($H$7:H158,$H$7)&gt;1,"Do Not Copy","Copy")</f>
        <v>Copy</v>
      </c>
      <c r="L158"/>
      <c r="M158" s="2"/>
    </row>
    <row r="159" spans="1:13" x14ac:dyDescent="0.25">
      <c r="A159" s="128">
        <f t="shared" si="5"/>
        <v>0.52777777777777646</v>
      </c>
      <c r="B159" s="24">
        <f>INDEX('IDF Distributions'!$A$1:$AB$290,MATCH('Bulk Tool'!$A159,'IDF Distributions'!$A$1:$A$290,0),MATCH('Bulk Tool'!B$5,'IDF Distributions'!$A$1:$AB$1,0))*INDEX($N$5:$N$11,MATCH(B$6,$L$5:$L$11,0))*IF($E$2="Depth (mm)",(1),IF($E$2="Intensity (mm/hr)",12,0))</f>
        <v>0.45829312415576035</v>
      </c>
      <c r="C159" s="24">
        <f>INDEX('IDF Distributions'!$A$1:$AB$290,MATCH('Bulk Tool'!$A159,'IDF Distributions'!$A$1:$A$290,0),MATCH('Bulk Tool'!C$5,'IDF Distributions'!$A$1:$AB$1,0))*INDEX($N$5:$N$11,MATCH(C$6,$L$5:$L$11,0))*IF($E$2="Depth (mm)",(1),IF($E$2="Intensity (mm/hr)",12,0))</f>
        <v>0.61111761922637253</v>
      </c>
      <c r="D159" s="24">
        <f>INDEX('IDF Distributions'!$A$1:$AB$290,MATCH('Bulk Tool'!$A159,'IDF Distributions'!$A$1:$A$290,0),MATCH('Bulk Tool'!D$5,'IDF Distributions'!$A$1:$AB$1,0))*INDEX($N$5:$N$11,MATCH(D$6,$L$5:$L$11,0))*IF($E$2="Depth (mm)",(1),IF($E$2="Intensity (mm/hr)",12,0))</f>
        <v>0.71962602437495127</v>
      </c>
      <c r="E159" s="24">
        <f>INDEX('IDF Distributions'!$A$1:$AB$290,MATCH('Bulk Tool'!$A159,'IDF Distributions'!$A$1:$A$290,0),MATCH('Bulk Tool'!E$5,'IDF Distributions'!$A$1:$AB$1,0))*INDEX($N$5:$N$11,MATCH(E$6,$L$5:$L$11,0))*IF($E$2="Depth (mm)",(1),IF($E$2="Intensity (mm/hr)",12,0))</f>
        <v>0.86900959367118535</v>
      </c>
      <c r="F159" s="24">
        <f>INDEX('IDF Distributions'!$A$1:$AB$290,MATCH('Bulk Tool'!$A159,'IDF Distributions'!$A$1:$A$290,0),MATCH('Bulk Tool'!F$5,'IDF Distributions'!$A$1:$AB$1,0))*INDEX($N$5:$N$11,MATCH(F$6,$L$5:$L$11,0))*IF($E$2="Depth (mm)",(1),IF($E$2="Intensity (mm/hr)",12,0))</f>
        <v>0.98691453598891288</v>
      </c>
      <c r="G159" s="24">
        <f>INDEX('IDF Distributions'!$A$1:$AB$290,MATCH('Bulk Tool'!$A159,'IDF Distributions'!$A$1:$A$290,0),MATCH('Bulk Tool'!G$5,'IDF Distributions'!$A$1:$AB$1,0))*INDEX($N$5:$N$11,MATCH(G$6,$L$5:$L$11,0))*IF($E$2="Depth (mm)",(1),IF($E$2="Intensity (mm/hr)",12,0))</f>
        <v>1.1115816665320133</v>
      </c>
      <c r="H159" s="24">
        <f>INDEX('IDF Distributions'!$A$1:$AB$290,MATCH('Bulk Tool'!$A159,'IDF Distributions'!$A$1:$A$290,0),MATCH('Bulk Tool'!H$5,'IDF Distributions'!$A$1:$AB$1,0))*INDEX($N$5:$N$11,MATCH(H$6,$L$5:$L$11,0))*IF($E$2="Depth (mm)",(1),IF($E$2="Intensity (mm/hr)",12,0))</f>
        <v>1.2449051325249632</v>
      </c>
      <c r="I159" s="12" t="str">
        <f>IF(COUNTIF($H$7:H159,$H$7)&gt;1,"Do Not Copy","Copy")</f>
        <v>Copy</v>
      </c>
      <c r="L159"/>
      <c r="M159" s="2"/>
    </row>
    <row r="160" spans="1:13" x14ac:dyDescent="0.25">
      <c r="A160" s="128">
        <f t="shared" si="5"/>
        <v>0.53124999999999867</v>
      </c>
      <c r="B160" s="24">
        <f>INDEX('IDF Distributions'!$A$1:$AB$290,MATCH('Bulk Tool'!$A160,'IDF Distributions'!$A$1:$A$290,0),MATCH('Bulk Tool'!B$5,'IDF Distributions'!$A$1:$AB$1,0))*INDEX($N$5:$N$11,MATCH(B$6,$L$5:$L$11,0))*IF($E$2="Depth (mm)",(1),IF($E$2="Intensity (mm/hr)",12,0))</f>
        <v>0.44838408363347465</v>
      </c>
      <c r="C160" s="24">
        <f>INDEX('IDF Distributions'!$A$1:$AB$290,MATCH('Bulk Tool'!$A160,'IDF Distributions'!$A$1:$A$290,0),MATCH('Bulk Tool'!C$5,'IDF Distributions'!$A$1:$AB$1,0))*INDEX($N$5:$N$11,MATCH(C$6,$L$5:$L$11,0))*IF($E$2="Depth (mm)",(1),IF($E$2="Intensity (mm/hr)",12,0))</f>
        <v>0.59790426529715512</v>
      </c>
      <c r="D160" s="24">
        <f>INDEX('IDF Distributions'!$A$1:$AB$290,MATCH('Bulk Tool'!$A160,'IDF Distributions'!$A$1:$A$290,0),MATCH('Bulk Tool'!D$5,'IDF Distributions'!$A$1:$AB$1,0))*INDEX($N$5:$N$11,MATCH(D$6,$L$5:$L$11,0))*IF($E$2="Depth (mm)",(1),IF($E$2="Intensity (mm/hr)",12,0))</f>
        <v>0.70406654276684588</v>
      </c>
      <c r="E160" s="24">
        <f>INDEX('IDF Distributions'!$A$1:$AB$290,MATCH('Bulk Tool'!$A160,'IDF Distributions'!$A$1:$A$290,0),MATCH('Bulk Tool'!E$5,'IDF Distributions'!$A$1:$AB$1,0))*INDEX($N$5:$N$11,MATCH(E$6,$L$5:$L$11,0))*IF($E$2="Depth (mm)",(1),IF($E$2="Intensity (mm/hr)",12,0))</f>
        <v>0.85022019705126972</v>
      </c>
      <c r="F160" s="24">
        <f>INDEX('IDF Distributions'!$A$1:$AB$290,MATCH('Bulk Tool'!$A160,'IDF Distributions'!$A$1:$A$290,0),MATCH('Bulk Tool'!F$5,'IDF Distributions'!$A$1:$AB$1,0))*INDEX($N$5:$N$11,MATCH(F$6,$L$5:$L$11,0))*IF($E$2="Depth (mm)",(1),IF($E$2="Intensity (mm/hr)",12,0))</f>
        <v>0.96557584331888457</v>
      </c>
      <c r="G160" s="24">
        <f>INDEX('IDF Distributions'!$A$1:$AB$290,MATCH('Bulk Tool'!$A160,'IDF Distributions'!$A$1:$A$290,0),MATCH('Bulk Tool'!G$5,'IDF Distributions'!$A$1:$AB$1,0))*INDEX($N$5:$N$11,MATCH(G$6,$L$5:$L$11,0))*IF($E$2="Depth (mm)",(1),IF($E$2="Intensity (mm/hr)",12,0))</f>
        <v>1.0875474683367292</v>
      </c>
      <c r="H160" s="24">
        <f>INDEX('IDF Distributions'!$A$1:$AB$290,MATCH('Bulk Tool'!$A160,'IDF Distributions'!$A$1:$A$290,0),MATCH('Bulk Tool'!H$5,'IDF Distributions'!$A$1:$AB$1,0))*INDEX($N$5:$N$11,MATCH(H$6,$L$5:$L$11,0))*IF($E$2="Depth (mm)",(1),IF($E$2="Intensity (mm/hr)",12,0))</f>
        <v>1.2179882647946965</v>
      </c>
      <c r="I160" s="12" t="str">
        <f>IF(COUNTIF($H$7:H160,$H$7)&gt;1,"Do Not Copy","Copy")</f>
        <v>Copy</v>
      </c>
      <c r="L160"/>
      <c r="M160" s="2"/>
    </row>
    <row r="161" spans="1:13" x14ac:dyDescent="0.25">
      <c r="A161" s="128">
        <f t="shared" si="5"/>
        <v>0.53472222222222088</v>
      </c>
      <c r="B161" s="24">
        <f>INDEX('IDF Distributions'!$A$1:$AB$290,MATCH('Bulk Tool'!$A161,'IDF Distributions'!$A$1:$A$290,0),MATCH('Bulk Tool'!B$5,'IDF Distributions'!$A$1:$AB$1,0))*INDEX($N$5:$N$11,MATCH(B$6,$L$5:$L$11,0))*IF($E$2="Depth (mm)",(1),IF($E$2="Intensity (mm/hr)",12,0))</f>
        <v>0.43847504311118901</v>
      </c>
      <c r="C161" s="24">
        <f>INDEX('IDF Distributions'!$A$1:$AB$290,MATCH('Bulk Tool'!$A161,'IDF Distributions'!$A$1:$A$290,0),MATCH('Bulk Tool'!C$5,'IDF Distributions'!$A$1:$AB$1,0))*INDEX($N$5:$N$11,MATCH(C$6,$L$5:$L$11,0))*IF($E$2="Depth (mm)",(1),IF($E$2="Intensity (mm/hr)",12,0))</f>
        <v>0.58469091136793772</v>
      </c>
      <c r="D161" s="24">
        <f>INDEX('IDF Distributions'!$A$1:$AB$290,MATCH('Bulk Tool'!$A161,'IDF Distributions'!$A$1:$A$290,0),MATCH('Bulk Tool'!D$5,'IDF Distributions'!$A$1:$AB$1,0))*INDEX($N$5:$N$11,MATCH(D$6,$L$5:$L$11,0))*IF($E$2="Depth (mm)",(1),IF($E$2="Intensity (mm/hr)",12,0))</f>
        <v>0.6885070611587405</v>
      </c>
      <c r="E161" s="24">
        <f>INDEX('IDF Distributions'!$A$1:$AB$290,MATCH('Bulk Tool'!$A161,'IDF Distributions'!$A$1:$A$290,0),MATCH('Bulk Tool'!E$5,'IDF Distributions'!$A$1:$AB$1,0))*INDEX($N$5:$N$11,MATCH(E$6,$L$5:$L$11,0))*IF($E$2="Depth (mm)",(1),IF($E$2="Intensity (mm/hr)",12,0))</f>
        <v>0.8314308004313542</v>
      </c>
      <c r="F161" s="24">
        <f>INDEX('IDF Distributions'!$A$1:$AB$290,MATCH('Bulk Tool'!$A161,'IDF Distributions'!$A$1:$A$290,0),MATCH('Bulk Tool'!F$5,'IDF Distributions'!$A$1:$AB$1,0))*INDEX($N$5:$N$11,MATCH(F$6,$L$5:$L$11,0))*IF($E$2="Depth (mm)",(1),IF($E$2="Intensity (mm/hr)",12,0))</f>
        <v>0.94423715064885627</v>
      </c>
      <c r="G161" s="24">
        <f>INDEX('IDF Distributions'!$A$1:$AB$290,MATCH('Bulk Tool'!$A161,'IDF Distributions'!$A$1:$A$290,0),MATCH('Bulk Tool'!G$5,'IDF Distributions'!$A$1:$AB$1,0))*INDEX($N$5:$N$11,MATCH(G$6,$L$5:$L$11,0))*IF($E$2="Depth (mm)",(1),IF($E$2="Intensity (mm/hr)",12,0))</f>
        <v>1.0635132701414451</v>
      </c>
      <c r="H161" s="24">
        <f>INDEX('IDF Distributions'!$A$1:$AB$290,MATCH('Bulk Tool'!$A161,'IDF Distributions'!$A$1:$A$290,0),MATCH('Bulk Tool'!H$5,'IDF Distributions'!$A$1:$AB$1,0))*INDEX($N$5:$N$11,MATCH(H$6,$L$5:$L$11,0))*IF($E$2="Depth (mm)",(1),IF($E$2="Intensity (mm/hr)",12,0))</f>
        <v>1.19107139706443</v>
      </c>
      <c r="I161" s="12" t="str">
        <f>IF(COUNTIF($H$7:H161,$H$7)&gt;1,"Do Not Copy","Copy")</f>
        <v>Copy</v>
      </c>
      <c r="L161"/>
      <c r="M161" s="2"/>
    </row>
    <row r="162" spans="1:13" x14ac:dyDescent="0.25">
      <c r="A162" s="128">
        <f t="shared" si="5"/>
        <v>0.53819444444444309</v>
      </c>
      <c r="B162" s="24">
        <f>INDEX('IDF Distributions'!$A$1:$AB$290,MATCH('Bulk Tool'!$A162,'IDF Distributions'!$A$1:$A$290,0),MATCH('Bulk Tool'!B$5,'IDF Distributions'!$A$1:$AB$1,0))*INDEX($N$5:$N$11,MATCH(B$6,$L$5:$L$11,0))*IF($E$2="Depth (mm)",(1),IF($E$2="Intensity (mm/hr)",12,0))</f>
        <v>0.43847504311118901</v>
      </c>
      <c r="C162" s="24">
        <f>INDEX('IDF Distributions'!$A$1:$AB$290,MATCH('Bulk Tool'!$A162,'IDF Distributions'!$A$1:$A$290,0),MATCH('Bulk Tool'!C$5,'IDF Distributions'!$A$1:$AB$1,0))*INDEX($N$5:$N$11,MATCH(C$6,$L$5:$L$11,0))*IF($E$2="Depth (mm)",(1),IF($E$2="Intensity (mm/hr)",12,0))</f>
        <v>0.58469091136793772</v>
      </c>
      <c r="D162" s="24">
        <f>INDEX('IDF Distributions'!$A$1:$AB$290,MATCH('Bulk Tool'!$A162,'IDF Distributions'!$A$1:$A$290,0),MATCH('Bulk Tool'!D$5,'IDF Distributions'!$A$1:$AB$1,0))*INDEX($N$5:$N$11,MATCH(D$6,$L$5:$L$11,0))*IF($E$2="Depth (mm)",(1),IF($E$2="Intensity (mm/hr)",12,0))</f>
        <v>0.6885070611587405</v>
      </c>
      <c r="E162" s="24">
        <f>INDEX('IDF Distributions'!$A$1:$AB$290,MATCH('Bulk Tool'!$A162,'IDF Distributions'!$A$1:$A$290,0),MATCH('Bulk Tool'!E$5,'IDF Distributions'!$A$1:$AB$1,0))*INDEX($N$5:$N$11,MATCH(E$6,$L$5:$L$11,0))*IF($E$2="Depth (mm)",(1),IF($E$2="Intensity (mm/hr)",12,0))</f>
        <v>0.8314308004313542</v>
      </c>
      <c r="F162" s="24">
        <f>INDEX('IDF Distributions'!$A$1:$AB$290,MATCH('Bulk Tool'!$A162,'IDF Distributions'!$A$1:$A$290,0),MATCH('Bulk Tool'!F$5,'IDF Distributions'!$A$1:$AB$1,0))*INDEX($N$5:$N$11,MATCH(F$6,$L$5:$L$11,0))*IF($E$2="Depth (mm)",(1),IF($E$2="Intensity (mm/hr)",12,0))</f>
        <v>0.94423715064885627</v>
      </c>
      <c r="G162" s="24">
        <f>INDEX('IDF Distributions'!$A$1:$AB$290,MATCH('Bulk Tool'!$A162,'IDF Distributions'!$A$1:$A$290,0),MATCH('Bulk Tool'!G$5,'IDF Distributions'!$A$1:$AB$1,0))*INDEX($N$5:$N$11,MATCH(G$6,$L$5:$L$11,0))*IF($E$2="Depth (mm)",(1),IF($E$2="Intensity (mm/hr)",12,0))</f>
        <v>1.0635132701414451</v>
      </c>
      <c r="H162" s="24">
        <f>INDEX('IDF Distributions'!$A$1:$AB$290,MATCH('Bulk Tool'!$A162,'IDF Distributions'!$A$1:$A$290,0),MATCH('Bulk Tool'!H$5,'IDF Distributions'!$A$1:$AB$1,0))*INDEX($N$5:$N$11,MATCH(H$6,$L$5:$L$11,0))*IF($E$2="Depth (mm)",(1),IF($E$2="Intensity (mm/hr)",12,0))</f>
        <v>1.19107139706443</v>
      </c>
      <c r="I162" s="12" t="str">
        <f>IF(COUNTIF($H$7:H162,$H$7)&gt;1,"Do Not Copy","Copy")</f>
        <v>Copy</v>
      </c>
      <c r="L162"/>
      <c r="M162" s="2"/>
    </row>
    <row r="163" spans="1:13" x14ac:dyDescent="0.25">
      <c r="A163" s="128">
        <f t="shared" si="5"/>
        <v>0.5416666666666653</v>
      </c>
      <c r="B163" s="24">
        <f>INDEX('IDF Distributions'!$A$1:$AB$290,MATCH('Bulk Tool'!$A163,'IDF Distributions'!$A$1:$A$290,0),MATCH('Bulk Tool'!B$5,'IDF Distributions'!$A$1:$AB$1,0))*INDEX($N$5:$N$11,MATCH(B$6,$L$5:$L$11,0))*IF($E$2="Depth (mm)",(1),IF($E$2="Intensity (mm/hr)",12,0))</f>
        <v>0.44838408363347465</v>
      </c>
      <c r="C163" s="24">
        <f>INDEX('IDF Distributions'!$A$1:$AB$290,MATCH('Bulk Tool'!$A163,'IDF Distributions'!$A$1:$A$290,0),MATCH('Bulk Tool'!C$5,'IDF Distributions'!$A$1:$AB$1,0))*INDEX($N$5:$N$11,MATCH(C$6,$L$5:$L$11,0))*IF($E$2="Depth (mm)",(1),IF($E$2="Intensity (mm/hr)",12,0))</f>
        <v>0.59790426529715512</v>
      </c>
      <c r="D163" s="24">
        <f>INDEX('IDF Distributions'!$A$1:$AB$290,MATCH('Bulk Tool'!$A163,'IDF Distributions'!$A$1:$A$290,0),MATCH('Bulk Tool'!D$5,'IDF Distributions'!$A$1:$AB$1,0))*INDEX($N$5:$N$11,MATCH(D$6,$L$5:$L$11,0))*IF($E$2="Depth (mm)",(1),IF($E$2="Intensity (mm/hr)",12,0))</f>
        <v>0.70406654276684588</v>
      </c>
      <c r="E163" s="24">
        <f>INDEX('IDF Distributions'!$A$1:$AB$290,MATCH('Bulk Tool'!$A163,'IDF Distributions'!$A$1:$A$290,0),MATCH('Bulk Tool'!E$5,'IDF Distributions'!$A$1:$AB$1,0))*INDEX($N$5:$N$11,MATCH(E$6,$L$5:$L$11,0))*IF($E$2="Depth (mm)",(1),IF($E$2="Intensity (mm/hr)",12,0))</f>
        <v>0.85022019705126972</v>
      </c>
      <c r="F163" s="24">
        <f>INDEX('IDF Distributions'!$A$1:$AB$290,MATCH('Bulk Tool'!$A163,'IDF Distributions'!$A$1:$A$290,0),MATCH('Bulk Tool'!F$5,'IDF Distributions'!$A$1:$AB$1,0))*INDEX($N$5:$N$11,MATCH(F$6,$L$5:$L$11,0))*IF($E$2="Depth (mm)",(1),IF($E$2="Intensity (mm/hr)",12,0))</f>
        <v>0.96557584331888457</v>
      </c>
      <c r="G163" s="24">
        <f>INDEX('IDF Distributions'!$A$1:$AB$290,MATCH('Bulk Tool'!$A163,'IDF Distributions'!$A$1:$A$290,0),MATCH('Bulk Tool'!G$5,'IDF Distributions'!$A$1:$AB$1,0))*INDEX($N$5:$N$11,MATCH(G$6,$L$5:$L$11,0))*IF($E$2="Depth (mm)",(1),IF($E$2="Intensity (mm/hr)",12,0))</f>
        <v>1.0875474683367292</v>
      </c>
      <c r="H163" s="24">
        <f>INDEX('IDF Distributions'!$A$1:$AB$290,MATCH('Bulk Tool'!$A163,'IDF Distributions'!$A$1:$A$290,0),MATCH('Bulk Tool'!H$5,'IDF Distributions'!$A$1:$AB$1,0))*INDEX($N$5:$N$11,MATCH(H$6,$L$5:$L$11,0))*IF($E$2="Depth (mm)",(1),IF($E$2="Intensity (mm/hr)",12,0))</f>
        <v>1.2179882647946965</v>
      </c>
      <c r="I163" s="12" t="str">
        <f>IF(COUNTIF($H$7:H163,$H$7)&gt;1,"Do Not Copy","Copy")</f>
        <v>Copy</v>
      </c>
      <c r="L163"/>
      <c r="M163" s="2"/>
    </row>
    <row r="164" spans="1:13" x14ac:dyDescent="0.25">
      <c r="A164" s="128">
        <f t="shared" si="5"/>
        <v>0.54513888888888751</v>
      </c>
      <c r="B164" s="24">
        <f>INDEX('IDF Distributions'!$A$1:$AB$290,MATCH('Bulk Tool'!$A164,'IDF Distributions'!$A$1:$A$290,0),MATCH('Bulk Tool'!B$5,'IDF Distributions'!$A$1:$AB$1,0))*INDEX($N$5:$N$11,MATCH(B$6,$L$5:$L$11,0))*IF($E$2="Depth (mm)",(1),IF($E$2="Intensity (mm/hr)",12,0))</f>
        <v>0.45829312415576035</v>
      </c>
      <c r="C164" s="24">
        <f>INDEX('IDF Distributions'!$A$1:$AB$290,MATCH('Bulk Tool'!$A164,'IDF Distributions'!$A$1:$A$290,0),MATCH('Bulk Tool'!C$5,'IDF Distributions'!$A$1:$AB$1,0))*INDEX($N$5:$N$11,MATCH(C$6,$L$5:$L$11,0))*IF($E$2="Depth (mm)",(1),IF($E$2="Intensity (mm/hr)",12,0))</f>
        <v>0.61111761922637253</v>
      </c>
      <c r="D164" s="24">
        <f>INDEX('IDF Distributions'!$A$1:$AB$290,MATCH('Bulk Tool'!$A164,'IDF Distributions'!$A$1:$A$290,0),MATCH('Bulk Tool'!D$5,'IDF Distributions'!$A$1:$AB$1,0))*INDEX($N$5:$N$11,MATCH(D$6,$L$5:$L$11,0))*IF($E$2="Depth (mm)",(1),IF($E$2="Intensity (mm/hr)",12,0))</f>
        <v>0.71962602437495127</v>
      </c>
      <c r="E164" s="24">
        <f>INDEX('IDF Distributions'!$A$1:$AB$290,MATCH('Bulk Tool'!$A164,'IDF Distributions'!$A$1:$A$290,0),MATCH('Bulk Tool'!E$5,'IDF Distributions'!$A$1:$AB$1,0))*INDEX($N$5:$N$11,MATCH(E$6,$L$5:$L$11,0))*IF($E$2="Depth (mm)",(1),IF($E$2="Intensity (mm/hr)",12,0))</f>
        <v>0.86900959367118535</v>
      </c>
      <c r="F164" s="24">
        <f>INDEX('IDF Distributions'!$A$1:$AB$290,MATCH('Bulk Tool'!$A164,'IDF Distributions'!$A$1:$A$290,0),MATCH('Bulk Tool'!F$5,'IDF Distributions'!$A$1:$AB$1,0))*INDEX($N$5:$N$11,MATCH(F$6,$L$5:$L$11,0))*IF($E$2="Depth (mm)",(1),IF($E$2="Intensity (mm/hr)",12,0))</f>
        <v>0.98691453598891288</v>
      </c>
      <c r="G164" s="24">
        <f>INDEX('IDF Distributions'!$A$1:$AB$290,MATCH('Bulk Tool'!$A164,'IDF Distributions'!$A$1:$A$290,0),MATCH('Bulk Tool'!G$5,'IDF Distributions'!$A$1:$AB$1,0))*INDEX($N$5:$N$11,MATCH(G$6,$L$5:$L$11,0))*IF($E$2="Depth (mm)",(1),IF($E$2="Intensity (mm/hr)",12,0))</f>
        <v>1.1115816665320133</v>
      </c>
      <c r="H164" s="24">
        <f>INDEX('IDF Distributions'!$A$1:$AB$290,MATCH('Bulk Tool'!$A164,'IDF Distributions'!$A$1:$A$290,0),MATCH('Bulk Tool'!H$5,'IDF Distributions'!$A$1:$AB$1,0))*INDEX($N$5:$N$11,MATCH(H$6,$L$5:$L$11,0))*IF($E$2="Depth (mm)",(1),IF($E$2="Intensity (mm/hr)",12,0))</f>
        <v>1.2449051325249632</v>
      </c>
      <c r="I164" s="12" t="str">
        <f>IF(COUNTIF($H$7:H164,$H$7)&gt;1,"Do Not Copy","Copy")</f>
        <v>Copy</v>
      </c>
      <c r="L164"/>
      <c r="M164" s="2"/>
    </row>
    <row r="165" spans="1:13" x14ac:dyDescent="0.25">
      <c r="A165" s="128">
        <f t="shared" si="5"/>
        <v>0.54861111111110972</v>
      </c>
      <c r="B165" s="24">
        <f>INDEX('IDF Distributions'!$A$1:$AB$290,MATCH('Bulk Tool'!$A165,'IDF Distributions'!$A$1:$A$290,0),MATCH('Bulk Tool'!B$5,'IDF Distributions'!$A$1:$AB$1,0))*INDEX($N$5:$N$11,MATCH(B$6,$L$5:$L$11,0))*IF($E$2="Depth (mm)",(1),IF($E$2="Intensity (mm/hr)",12,0))</f>
        <v>0.45829312415576035</v>
      </c>
      <c r="C165" s="24">
        <f>INDEX('IDF Distributions'!$A$1:$AB$290,MATCH('Bulk Tool'!$A165,'IDF Distributions'!$A$1:$A$290,0),MATCH('Bulk Tool'!C$5,'IDF Distributions'!$A$1:$AB$1,0))*INDEX($N$5:$N$11,MATCH(C$6,$L$5:$L$11,0))*IF($E$2="Depth (mm)",(1),IF($E$2="Intensity (mm/hr)",12,0))</f>
        <v>0.61111761922637253</v>
      </c>
      <c r="D165" s="24">
        <f>INDEX('IDF Distributions'!$A$1:$AB$290,MATCH('Bulk Tool'!$A165,'IDF Distributions'!$A$1:$A$290,0),MATCH('Bulk Tool'!D$5,'IDF Distributions'!$A$1:$AB$1,0))*INDEX($N$5:$N$11,MATCH(D$6,$L$5:$L$11,0))*IF($E$2="Depth (mm)",(1),IF($E$2="Intensity (mm/hr)",12,0))</f>
        <v>0.71962602437495127</v>
      </c>
      <c r="E165" s="24">
        <f>INDEX('IDF Distributions'!$A$1:$AB$290,MATCH('Bulk Tool'!$A165,'IDF Distributions'!$A$1:$A$290,0),MATCH('Bulk Tool'!E$5,'IDF Distributions'!$A$1:$AB$1,0))*INDEX($N$5:$N$11,MATCH(E$6,$L$5:$L$11,0))*IF($E$2="Depth (mm)",(1),IF($E$2="Intensity (mm/hr)",12,0))</f>
        <v>0.86900959367118535</v>
      </c>
      <c r="F165" s="24">
        <f>INDEX('IDF Distributions'!$A$1:$AB$290,MATCH('Bulk Tool'!$A165,'IDF Distributions'!$A$1:$A$290,0),MATCH('Bulk Tool'!F$5,'IDF Distributions'!$A$1:$AB$1,0))*INDEX($N$5:$N$11,MATCH(F$6,$L$5:$L$11,0))*IF($E$2="Depth (mm)",(1),IF($E$2="Intensity (mm/hr)",12,0))</f>
        <v>0.98691453598891288</v>
      </c>
      <c r="G165" s="24">
        <f>INDEX('IDF Distributions'!$A$1:$AB$290,MATCH('Bulk Tool'!$A165,'IDF Distributions'!$A$1:$A$290,0),MATCH('Bulk Tool'!G$5,'IDF Distributions'!$A$1:$AB$1,0))*INDEX($N$5:$N$11,MATCH(G$6,$L$5:$L$11,0))*IF($E$2="Depth (mm)",(1),IF($E$2="Intensity (mm/hr)",12,0))</f>
        <v>1.1115816665320133</v>
      </c>
      <c r="H165" s="24">
        <f>INDEX('IDF Distributions'!$A$1:$AB$290,MATCH('Bulk Tool'!$A165,'IDF Distributions'!$A$1:$A$290,0),MATCH('Bulk Tool'!H$5,'IDF Distributions'!$A$1:$AB$1,0))*INDEX($N$5:$N$11,MATCH(H$6,$L$5:$L$11,0))*IF($E$2="Depth (mm)",(1),IF($E$2="Intensity (mm/hr)",12,0))</f>
        <v>1.2449051325249632</v>
      </c>
      <c r="I165" s="12" t="str">
        <f>IF(COUNTIF($H$7:H165,$H$7)&gt;1,"Do Not Copy","Copy")</f>
        <v>Copy</v>
      </c>
      <c r="L165"/>
      <c r="M165" s="2"/>
    </row>
    <row r="166" spans="1:13" x14ac:dyDescent="0.25">
      <c r="A166" s="128">
        <f t="shared" si="5"/>
        <v>0.55208333333333193</v>
      </c>
      <c r="B166" s="24">
        <f>INDEX('IDF Distributions'!$A$1:$AB$290,MATCH('Bulk Tool'!$A166,'IDF Distributions'!$A$1:$A$290,0),MATCH('Bulk Tool'!B$5,'IDF Distributions'!$A$1:$AB$1,0))*INDEX($N$5:$N$11,MATCH(B$6,$L$5:$L$11,0))*IF($E$2="Depth (mm)",(1),IF($E$2="Intensity (mm/hr)",12,0))</f>
        <v>0.44838408363347465</v>
      </c>
      <c r="C166" s="24">
        <f>INDEX('IDF Distributions'!$A$1:$AB$290,MATCH('Bulk Tool'!$A166,'IDF Distributions'!$A$1:$A$290,0),MATCH('Bulk Tool'!C$5,'IDF Distributions'!$A$1:$AB$1,0))*INDEX($N$5:$N$11,MATCH(C$6,$L$5:$L$11,0))*IF($E$2="Depth (mm)",(1),IF($E$2="Intensity (mm/hr)",12,0))</f>
        <v>0.59790426529715512</v>
      </c>
      <c r="D166" s="24">
        <f>INDEX('IDF Distributions'!$A$1:$AB$290,MATCH('Bulk Tool'!$A166,'IDF Distributions'!$A$1:$A$290,0),MATCH('Bulk Tool'!D$5,'IDF Distributions'!$A$1:$AB$1,0))*INDEX($N$5:$N$11,MATCH(D$6,$L$5:$L$11,0))*IF($E$2="Depth (mm)",(1),IF($E$2="Intensity (mm/hr)",12,0))</f>
        <v>0.70406654276684588</v>
      </c>
      <c r="E166" s="24">
        <f>INDEX('IDF Distributions'!$A$1:$AB$290,MATCH('Bulk Tool'!$A166,'IDF Distributions'!$A$1:$A$290,0),MATCH('Bulk Tool'!E$5,'IDF Distributions'!$A$1:$AB$1,0))*INDEX($N$5:$N$11,MATCH(E$6,$L$5:$L$11,0))*IF($E$2="Depth (mm)",(1),IF($E$2="Intensity (mm/hr)",12,0))</f>
        <v>0.85022019705126972</v>
      </c>
      <c r="F166" s="24">
        <f>INDEX('IDF Distributions'!$A$1:$AB$290,MATCH('Bulk Tool'!$A166,'IDF Distributions'!$A$1:$A$290,0),MATCH('Bulk Tool'!F$5,'IDF Distributions'!$A$1:$AB$1,0))*INDEX($N$5:$N$11,MATCH(F$6,$L$5:$L$11,0))*IF($E$2="Depth (mm)",(1),IF($E$2="Intensity (mm/hr)",12,0))</f>
        <v>0.96557584331888457</v>
      </c>
      <c r="G166" s="24">
        <f>INDEX('IDF Distributions'!$A$1:$AB$290,MATCH('Bulk Tool'!$A166,'IDF Distributions'!$A$1:$A$290,0),MATCH('Bulk Tool'!G$5,'IDF Distributions'!$A$1:$AB$1,0))*INDEX($N$5:$N$11,MATCH(G$6,$L$5:$L$11,0))*IF($E$2="Depth (mm)",(1),IF($E$2="Intensity (mm/hr)",12,0))</f>
        <v>1.0875474683367292</v>
      </c>
      <c r="H166" s="24">
        <f>INDEX('IDF Distributions'!$A$1:$AB$290,MATCH('Bulk Tool'!$A166,'IDF Distributions'!$A$1:$A$290,0),MATCH('Bulk Tool'!H$5,'IDF Distributions'!$A$1:$AB$1,0))*INDEX($N$5:$N$11,MATCH(H$6,$L$5:$L$11,0))*IF($E$2="Depth (mm)",(1),IF($E$2="Intensity (mm/hr)",12,0))</f>
        <v>1.2179882647946965</v>
      </c>
      <c r="I166" s="12" t="str">
        <f>IF(COUNTIF($H$7:H166,$H$7)&gt;1,"Do Not Copy","Copy")</f>
        <v>Copy</v>
      </c>
      <c r="L166"/>
      <c r="M166" s="2"/>
    </row>
    <row r="167" spans="1:13" x14ac:dyDescent="0.25">
      <c r="A167" s="128">
        <f t="shared" si="5"/>
        <v>0.55555555555555414</v>
      </c>
      <c r="B167" s="24">
        <f>INDEX('IDF Distributions'!$A$1:$AB$290,MATCH('Bulk Tool'!$A167,'IDF Distributions'!$A$1:$A$290,0),MATCH('Bulk Tool'!B$5,'IDF Distributions'!$A$1:$AB$1,0))*INDEX($N$5:$N$11,MATCH(B$6,$L$5:$L$11,0))*IF($E$2="Depth (mm)",(1),IF($E$2="Intensity (mm/hr)",12,0))</f>
        <v>0.43847504311118901</v>
      </c>
      <c r="C167" s="24">
        <f>INDEX('IDF Distributions'!$A$1:$AB$290,MATCH('Bulk Tool'!$A167,'IDF Distributions'!$A$1:$A$290,0),MATCH('Bulk Tool'!C$5,'IDF Distributions'!$A$1:$AB$1,0))*INDEX($N$5:$N$11,MATCH(C$6,$L$5:$L$11,0))*IF($E$2="Depth (mm)",(1),IF($E$2="Intensity (mm/hr)",12,0))</f>
        <v>0.58469091136793772</v>
      </c>
      <c r="D167" s="24">
        <f>INDEX('IDF Distributions'!$A$1:$AB$290,MATCH('Bulk Tool'!$A167,'IDF Distributions'!$A$1:$A$290,0),MATCH('Bulk Tool'!D$5,'IDF Distributions'!$A$1:$AB$1,0))*INDEX($N$5:$N$11,MATCH(D$6,$L$5:$L$11,0))*IF($E$2="Depth (mm)",(1),IF($E$2="Intensity (mm/hr)",12,0))</f>
        <v>0.6885070611587405</v>
      </c>
      <c r="E167" s="24">
        <f>INDEX('IDF Distributions'!$A$1:$AB$290,MATCH('Bulk Tool'!$A167,'IDF Distributions'!$A$1:$A$290,0),MATCH('Bulk Tool'!E$5,'IDF Distributions'!$A$1:$AB$1,0))*INDEX($N$5:$N$11,MATCH(E$6,$L$5:$L$11,0))*IF($E$2="Depth (mm)",(1),IF($E$2="Intensity (mm/hr)",12,0))</f>
        <v>0.8314308004313542</v>
      </c>
      <c r="F167" s="24">
        <f>INDEX('IDF Distributions'!$A$1:$AB$290,MATCH('Bulk Tool'!$A167,'IDF Distributions'!$A$1:$A$290,0),MATCH('Bulk Tool'!F$5,'IDF Distributions'!$A$1:$AB$1,0))*INDEX($N$5:$N$11,MATCH(F$6,$L$5:$L$11,0))*IF($E$2="Depth (mm)",(1),IF($E$2="Intensity (mm/hr)",12,0))</f>
        <v>0.94423715064885627</v>
      </c>
      <c r="G167" s="24">
        <f>INDEX('IDF Distributions'!$A$1:$AB$290,MATCH('Bulk Tool'!$A167,'IDF Distributions'!$A$1:$A$290,0),MATCH('Bulk Tool'!G$5,'IDF Distributions'!$A$1:$AB$1,0))*INDEX($N$5:$N$11,MATCH(G$6,$L$5:$L$11,0))*IF($E$2="Depth (mm)",(1),IF($E$2="Intensity (mm/hr)",12,0))</f>
        <v>1.0635132701414451</v>
      </c>
      <c r="H167" s="24">
        <f>INDEX('IDF Distributions'!$A$1:$AB$290,MATCH('Bulk Tool'!$A167,'IDF Distributions'!$A$1:$A$290,0),MATCH('Bulk Tool'!H$5,'IDF Distributions'!$A$1:$AB$1,0))*INDEX($N$5:$N$11,MATCH(H$6,$L$5:$L$11,0))*IF($E$2="Depth (mm)",(1),IF($E$2="Intensity (mm/hr)",12,0))</f>
        <v>1.19107139706443</v>
      </c>
      <c r="I167" s="12" t="str">
        <f>IF(COUNTIF($H$7:H167,$H$7)&gt;1,"Do Not Copy","Copy")</f>
        <v>Copy</v>
      </c>
      <c r="L167"/>
      <c r="M167" s="2"/>
    </row>
    <row r="168" spans="1:13" x14ac:dyDescent="0.25">
      <c r="A168" s="128">
        <f t="shared" si="5"/>
        <v>0.55902777777777635</v>
      </c>
      <c r="B168" s="24">
        <f>INDEX('IDF Distributions'!$A$1:$AB$290,MATCH('Bulk Tool'!$A168,'IDF Distributions'!$A$1:$A$290,0),MATCH('Bulk Tool'!B$5,'IDF Distributions'!$A$1:$AB$1,0))*INDEX($N$5:$N$11,MATCH(B$6,$L$5:$L$11,0))*IF($E$2="Depth (mm)",(1),IF($E$2="Intensity (mm/hr)",12,0))</f>
        <v>0.43352052285004616</v>
      </c>
      <c r="C168" s="24">
        <f>INDEX('IDF Distributions'!$A$1:$AB$290,MATCH('Bulk Tool'!$A168,'IDF Distributions'!$A$1:$A$290,0),MATCH('Bulk Tool'!C$5,'IDF Distributions'!$A$1:$AB$1,0))*INDEX($N$5:$N$11,MATCH(C$6,$L$5:$L$11,0))*IF($E$2="Depth (mm)",(1),IF($E$2="Intensity (mm/hr)",12,0))</f>
        <v>0.57808423440332901</v>
      </c>
      <c r="D168" s="24">
        <f>INDEX('IDF Distributions'!$A$1:$AB$290,MATCH('Bulk Tool'!$A168,'IDF Distributions'!$A$1:$A$290,0),MATCH('Bulk Tool'!D$5,'IDF Distributions'!$A$1:$AB$1,0))*INDEX($N$5:$N$11,MATCH(D$6,$L$5:$L$11,0))*IF($E$2="Depth (mm)",(1),IF($E$2="Intensity (mm/hr)",12,0))</f>
        <v>0.68072732035468775</v>
      </c>
      <c r="E168" s="24">
        <f>INDEX('IDF Distributions'!$A$1:$AB$290,MATCH('Bulk Tool'!$A168,'IDF Distributions'!$A$1:$A$290,0),MATCH('Bulk Tool'!E$5,'IDF Distributions'!$A$1:$AB$1,0))*INDEX($N$5:$N$11,MATCH(E$6,$L$5:$L$11,0))*IF($E$2="Depth (mm)",(1),IF($E$2="Intensity (mm/hr)",12,0))</f>
        <v>0.82203610212139666</v>
      </c>
      <c r="F168" s="24">
        <f>INDEX('IDF Distributions'!$A$1:$AB$290,MATCH('Bulk Tool'!$A168,'IDF Distributions'!$A$1:$A$290,0),MATCH('Bulk Tool'!F$5,'IDF Distributions'!$A$1:$AB$1,0))*INDEX($N$5:$N$11,MATCH(F$6,$L$5:$L$11,0))*IF($E$2="Depth (mm)",(1),IF($E$2="Intensity (mm/hr)",12,0))</f>
        <v>0.93356780431384223</v>
      </c>
      <c r="G168" s="24">
        <f>INDEX('IDF Distributions'!$A$1:$AB$290,MATCH('Bulk Tool'!$A168,'IDF Distributions'!$A$1:$A$290,0),MATCH('Bulk Tool'!G$5,'IDF Distributions'!$A$1:$AB$1,0))*INDEX($N$5:$N$11,MATCH(G$6,$L$5:$L$11,0))*IF($E$2="Depth (mm)",(1),IF($E$2="Intensity (mm/hr)",12,0))</f>
        <v>1.0514961710438029</v>
      </c>
      <c r="H168" s="24">
        <f>INDEX('IDF Distributions'!$A$1:$AB$290,MATCH('Bulk Tool'!$A168,'IDF Distributions'!$A$1:$A$290,0),MATCH('Bulk Tool'!H$5,'IDF Distributions'!$A$1:$AB$1,0))*INDEX($N$5:$N$11,MATCH(H$6,$L$5:$L$11,0))*IF($E$2="Depth (mm)",(1),IF($E$2="Intensity (mm/hr)",12,0))</f>
        <v>1.1776129631992966</v>
      </c>
      <c r="I168" s="12" t="str">
        <f>IF(COUNTIF($H$7:H168,$H$7)&gt;1,"Do Not Copy","Copy")</f>
        <v>Copy</v>
      </c>
      <c r="L168"/>
      <c r="M168" s="2"/>
    </row>
    <row r="169" spans="1:13" x14ac:dyDescent="0.25">
      <c r="A169" s="128">
        <f t="shared" si="5"/>
        <v>0.56249999999999856</v>
      </c>
      <c r="B169" s="24">
        <f>INDEX('IDF Distributions'!$A$1:$AB$290,MATCH('Bulk Tool'!$A169,'IDF Distributions'!$A$1:$A$290,0),MATCH('Bulk Tool'!B$5,'IDF Distributions'!$A$1:$AB$1,0))*INDEX($N$5:$N$11,MATCH(B$6,$L$5:$L$11,0))*IF($E$2="Depth (mm)",(1),IF($E$2="Intensity (mm/hr)",12,0))</f>
        <v>0.43352052285004616</v>
      </c>
      <c r="C169" s="24">
        <f>INDEX('IDF Distributions'!$A$1:$AB$290,MATCH('Bulk Tool'!$A169,'IDF Distributions'!$A$1:$A$290,0),MATCH('Bulk Tool'!C$5,'IDF Distributions'!$A$1:$AB$1,0))*INDEX($N$5:$N$11,MATCH(C$6,$L$5:$L$11,0))*IF($E$2="Depth (mm)",(1),IF($E$2="Intensity (mm/hr)",12,0))</f>
        <v>0.57808423440332901</v>
      </c>
      <c r="D169" s="24">
        <f>INDEX('IDF Distributions'!$A$1:$AB$290,MATCH('Bulk Tool'!$A169,'IDF Distributions'!$A$1:$A$290,0),MATCH('Bulk Tool'!D$5,'IDF Distributions'!$A$1:$AB$1,0))*INDEX($N$5:$N$11,MATCH(D$6,$L$5:$L$11,0))*IF($E$2="Depth (mm)",(1),IF($E$2="Intensity (mm/hr)",12,0))</f>
        <v>0.68072732035468775</v>
      </c>
      <c r="E169" s="24">
        <f>INDEX('IDF Distributions'!$A$1:$AB$290,MATCH('Bulk Tool'!$A169,'IDF Distributions'!$A$1:$A$290,0),MATCH('Bulk Tool'!E$5,'IDF Distributions'!$A$1:$AB$1,0))*INDEX($N$5:$N$11,MATCH(E$6,$L$5:$L$11,0))*IF($E$2="Depth (mm)",(1),IF($E$2="Intensity (mm/hr)",12,0))</f>
        <v>0.82203610212139666</v>
      </c>
      <c r="F169" s="24">
        <f>INDEX('IDF Distributions'!$A$1:$AB$290,MATCH('Bulk Tool'!$A169,'IDF Distributions'!$A$1:$A$290,0),MATCH('Bulk Tool'!F$5,'IDF Distributions'!$A$1:$AB$1,0))*INDEX($N$5:$N$11,MATCH(F$6,$L$5:$L$11,0))*IF($E$2="Depth (mm)",(1),IF($E$2="Intensity (mm/hr)",12,0))</f>
        <v>0.93356780431384223</v>
      </c>
      <c r="G169" s="24">
        <f>INDEX('IDF Distributions'!$A$1:$AB$290,MATCH('Bulk Tool'!$A169,'IDF Distributions'!$A$1:$A$290,0),MATCH('Bulk Tool'!G$5,'IDF Distributions'!$A$1:$AB$1,0))*INDEX($N$5:$N$11,MATCH(G$6,$L$5:$L$11,0))*IF($E$2="Depth (mm)",(1),IF($E$2="Intensity (mm/hr)",12,0))</f>
        <v>1.0514961710438029</v>
      </c>
      <c r="H169" s="24">
        <f>INDEX('IDF Distributions'!$A$1:$AB$290,MATCH('Bulk Tool'!$A169,'IDF Distributions'!$A$1:$A$290,0),MATCH('Bulk Tool'!H$5,'IDF Distributions'!$A$1:$AB$1,0))*INDEX($N$5:$N$11,MATCH(H$6,$L$5:$L$11,0))*IF($E$2="Depth (mm)",(1),IF($E$2="Intensity (mm/hr)",12,0))</f>
        <v>1.1776129631992966</v>
      </c>
      <c r="I169" s="12" t="str">
        <f>IF(COUNTIF($H$7:H169,$H$7)&gt;1,"Do Not Copy","Copy")</f>
        <v>Copy</v>
      </c>
      <c r="L169"/>
      <c r="M169" s="2"/>
    </row>
    <row r="170" spans="1:13" x14ac:dyDescent="0.25">
      <c r="A170" s="128">
        <f t="shared" si="5"/>
        <v>0.56597222222222077</v>
      </c>
      <c r="B170" s="24">
        <f>INDEX('IDF Distributions'!$A$1:$AB$290,MATCH('Bulk Tool'!$A170,'IDF Distributions'!$A$1:$A$290,0),MATCH('Bulk Tool'!B$5,'IDF Distributions'!$A$1:$AB$1,0))*INDEX($N$5:$N$11,MATCH(B$6,$L$5:$L$11,0))*IF($E$2="Depth (mm)",(1),IF($E$2="Intensity (mm/hr)",12,0))</f>
        <v>0.43352052285004616</v>
      </c>
      <c r="C170" s="24">
        <f>INDEX('IDF Distributions'!$A$1:$AB$290,MATCH('Bulk Tool'!$A170,'IDF Distributions'!$A$1:$A$290,0),MATCH('Bulk Tool'!C$5,'IDF Distributions'!$A$1:$AB$1,0))*INDEX($N$5:$N$11,MATCH(C$6,$L$5:$L$11,0))*IF($E$2="Depth (mm)",(1),IF($E$2="Intensity (mm/hr)",12,0))</f>
        <v>0.57808423440332901</v>
      </c>
      <c r="D170" s="24">
        <f>INDEX('IDF Distributions'!$A$1:$AB$290,MATCH('Bulk Tool'!$A170,'IDF Distributions'!$A$1:$A$290,0),MATCH('Bulk Tool'!D$5,'IDF Distributions'!$A$1:$AB$1,0))*INDEX($N$5:$N$11,MATCH(D$6,$L$5:$L$11,0))*IF($E$2="Depth (mm)",(1),IF($E$2="Intensity (mm/hr)",12,0))</f>
        <v>0.68072732035468775</v>
      </c>
      <c r="E170" s="24">
        <f>INDEX('IDF Distributions'!$A$1:$AB$290,MATCH('Bulk Tool'!$A170,'IDF Distributions'!$A$1:$A$290,0),MATCH('Bulk Tool'!E$5,'IDF Distributions'!$A$1:$AB$1,0))*INDEX($N$5:$N$11,MATCH(E$6,$L$5:$L$11,0))*IF($E$2="Depth (mm)",(1),IF($E$2="Intensity (mm/hr)",12,0))</f>
        <v>0.82203610212139666</v>
      </c>
      <c r="F170" s="24">
        <f>INDEX('IDF Distributions'!$A$1:$AB$290,MATCH('Bulk Tool'!$A170,'IDF Distributions'!$A$1:$A$290,0),MATCH('Bulk Tool'!F$5,'IDF Distributions'!$A$1:$AB$1,0))*INDEX($N$5:$N$11,MATCH(F$6,$L$5:$L$11,0))*IF($E$2="Depth (mm)",(1),IF($E$2="Intensity (mm/hr)",12,0))</f>
        <v>0.93356780431384223</v>
      </c>
      <c r="G170" s="24">
        <f>INDEX('IDF Distributions'!$A$1:$AB$290,MATCH('Bulk Tool'!$A170,'IDF Distributions'!$A$1:$A$290,0),MATCH('Bulk Tool'!G$5,'IDF Distributions'!$A$1:$AB$1,0))*INDEX($N$5:$N$11,MATCH(G$6,$L$5:$L$11,0))*IF($E$2="Depth (mm)",(1),IF($E$2="Intensity (mm/hr)",12,0))</f>
        <v>1.0514961710438029</v>
      </c>
      <c r="H170" s="24">
        <f>INDEX('IDF Distributions'!$A$1:$AB$290,MATCH('Bulk Tool'!$A170,'IDF Distributions'!$A$1:$A$290,0),MATCH('Bulk Tool'!H$5,'IDF Distributions'!$A$1:$AB$1,0))*INDEX($N$5:$N$11,MATCH(H$6,$L$5:$L$11,0))*IF($E$2="Depth (mm)",(1),IF($E$2="Intensity (mm/hr)",12,0))</f>
        <v>1.1776129631992966</v>
      </c>
      <c r="I170" s="12" t="str">
        <f>IF(COUNTIF($H$7:H170,$H$7)&gt;1,"Do Not Copy","Copy")</f>
        <v>Copy</v>
      </c>
      <c r="L170"/>
      <c r="M170" s="2"/>
    </row>
    <row r="171" spans="1:13" x14ac:dyDescent="0.25">
      <c r="A171" s="128">
        <f t="shared" si="5"/>
        <v>0.56944444444444298</v>
      </c>
      <c r="B171" s="24">
        <f>INDEX('IDF Distributions'!$A$1:$AB$290,MATCH('Bulk Tool'!$A171,'IDF Distributions'!$A$1:$A$290,0),MATCH('Bulk Tool'!B$5,'IDF Distributions'!$A$1:$AB$1,0))*INDEX($N$5:$N$11,MATCH(B$6,$L$5:$L$11,0))*IF($E$2="Depth (mm)",(1),IF($E$2="Intensity (mm/hr)",12,0))</f>
        <v>0.42113422219718916</v>
      </c>
      <c r="C171" s="24">
        <f>INDEX('IDF Distributions'!$A$1:$AB$290,MATCH('Bulk Tool'!$A171,'IDF Distributions'!$A$1:$A$290,0),MATCH('Bulk Tool'!C$5,'IDF Distributions'!$A$1:$AB$1,0))*INDEX($N$5:$N$11,MATCH(C$6,$L$5:$L$11,0))*IF($E$2="Depth (mm)",(1),IF($E$2="Intensity (mm/hr)",12,0))</f>
        <v>0.56156754199180714</v>
      </c>
      <c r="D171" s="24">
        <f>INDEX('IDF Distributions'!$A$1:$AB$290,MATCH('Bulk Tool'!$A171,'IDF Distributions'!$A$1:$A$290,0),MATCH('Bulk Tool'!D$5,'IDF Distributions'!$A$1:$AB$1,0))*INDEX($N$5:$N$11,MATCH(D$6,$L$5:$L$11,0))*IF($E$2="Depth (mm)",(1),IF($E$2="Intensity (mm/hr)",12,0))</f>
        <v>0.6612779683445561</v>
      </c>
      <c r="E171" s="24">
        <f>INDEX('IDF Distributions'!$A$1:$AB$290,MATCH('Bulk Tool'!$A171,'IDF Distributions'!$A$1:$A$290,0),MATCH('Bulk Tool'!E$5,'IDF Distributions'!$A$1:$AB$1,0))*INDEX($N$5:$N$11,MATCH(E$6,$L$5:$L$11,0))*IF($E$2="Depth (mm)",(1),IF($E$2="Intensity (mm/hr)",12,0))</f>
        <v>0.79854935634650215</v>
      </c>
      <c r="F171" s="24">
        <f>INDEX('IDF Distributions'!$A$1:$AB$290,MATCH('Bulk Tool'!$A171,'IDF Distributions'!$A$1:$A$290,0),MATCH('Bulk Tool'!F$5,'IDF Distributions'!$A$1:$AB$1,0))*INDEX($N$5:$N$11,MATCH(F$6,$L$5:$L$11,0))*IF($E$2="Depth (mm)",(1),IF($E$2="Intensity (mm/hr)",12,0))</f>
        <v>0.90689443847630691</v>
      </c>
      <c r="G171" s="24">
        <f>INDEX('IDF Distributions'!$A$1:$AB$290,MATCH('Bulk Tool'!$A171,'IDF Distributions'!$A$1:$A$290,0),MATCH('Bulk Tool'!G$5,'IDF Distributions'!$A$1:$AB$1,0))*INDEX($N$5:$N$11,MATCH(G$6,$L$5:$L$11,0))*IF($E$2="Depth (mm)",(1),IF($E$2="Intensity (mm/hr)",12,0))</f>
        <v>1.0214534232996977</v>
      </c>
      <c r="H171" s="24">
        <f>INDEX('IDF Distributions'!$A$1:$AB$290,MATCH('Bulk Tool'!$A171,'IDF Distributions'!$A$1:$A$290,0),MATCH('Bulk Tool'!H$5,'IDF Distributions'!$A$1:$AB$1,0))*INDEX($N$5:$N$11,MATCH(H$6,$L$5:$L$11,0))*IF($E$2="Depth (mm)",(1),IF($E$2="Intensity (mm/hr)",12,0))</f>
        <v>1.1439668785364636</v>
      </c>
      <c r="I171" s="12" t="str">
        <f>IF(COUNTIF($H$7:H171,$H$7)&gt;1,"Do Not Copy","Copy")</f>
        <v>Copy</v>
      </c>
      <c r="L171"/>
      <c r="M171" s="2"/>
    </row>
    <row r="172" spans="1:13" x14ac:dyDescent="0.25">
      <c r="A172" s="128">
        <f t="shared" si="5"/>
        <v>0.57291666666666519</v>
      </c>
      <c r="B172" s="24">
        <f>INDEX('IDF Distributions'!$A$1:$AB$290,MATCH('Bulk Tool'!$A172,'IDF Distributions'!$A$1:$A$290,0),MATCH('Bulk Tool'!B$5,'IDF Distributions'!$A$1:$AB$1,0))*INDEX($N$5:$N$11,MATCH(B$6,$L$5:$L$11,0))*IF($E$2="Depth (mm)",(1),IF($E$2="Intensity (mm/hr)",12,0))</f>
        <v>0.42113422219717267</v>
      </c>
      <c r="C172" s="24">
        <f>INDEX('IDF Distributions'!$A$1:$AB$290,MATCH('Bulk Tool'!$A172,'IDF Distributions'!$A$1:$A$290,0),MATCH('Bulk Tool'!C$5,'IDF Distributions'!$A$1:$AB$1,0))*INDEX($N$5:$N$11,MATCH(C$6,$L$5:$L$11,0))*IF($E$2="Depth (mm)",(1),IF($E$2="Intensity (mm/hr)",12,0))</f>
        <v>0.56156754199178516</v>
      </c>
      <c r="D172" s="24">
        <f>INDEX('IDF Distributions'!$A$1:$AB$290,MATCH('Bulk Tool'!$A172,'IDF Distributions'!$A$1:$A$290,0),MATCH('Bulk Tool'!D$5,'IDF Distributions'!$A$1:$AB$1,0))*INDEX($N$5:$N$11,MATCH(D$6,$L$5:$L$11,0))*IF($E$2="Depth (mm)",(1),IF($E$2="Intensity (mm/hr)",12,0))</f>
        <v>0.66127796834453012</v>
      </c>
      <c r="E172" s="24">
        <f>INDEX('IDF Distributions'!$A$1:$AB$290,MATCH('Bulk Tool'!$A172,'IDF Distributions'!$A$1:$A$290,0),MATCH('Bulk Tool'!E$5,'IDF Distributions'!$A$1:$AB$1,0))*INDEX($N$5:$N$11,MATCH(E$6,$L$5:$L$11,0))*IF($E$2="Depth (mm)",(1),IF($E$2="Intensity (mm/hr)",12,0))</f>
        <v>0.79854935634647084</v>
      </c>
      <c r="F172" s="24">
        <f>INDEX('IDF Distributions'!$A$1:$AB$290,MATCH('Bulk Tool'!$A172,'IDF Distributions'!$A$1:$A$290,0),MATCH('Bulk Tool'!F$5,'IDF Distributions'!$A$1:$AB$1,0))*INDEX($N$5:$N$11,MATCH(F$6,$L$5:$L$11,0))*IF($E$2="Depth (mm)",(1),IF($E$2="Intensity (mm/hr)",12,0))</f>
        <v>0.90689443847627149</v>
      </c>
      <c r="G172" s="24">
        <f>INDEX('IDF Distributions'!$A$1:$AB$290,MATCH('Bulk Tool'!$A172,'IDF Distributions'!$A$1:$A$290,0),MATCH('Bulk Tool'!G$5,'IDF Distributions'!$A$1:$AB$1,0))*INDEX($N$5:$N$11,MATCH(G$6,$L$5:$L$11,0))*IF($E$2="Depth (mm)",(1),IF($E$2="Intensity (mm/hr)",12,0))</f>
        <v>1.0214534232996577</v>
      </c>
      <c r="H172" s="24">
        <f>INDEX('IDF Distributions'!$A$1:$AB$290,MATCH('Bulk Tool'!$A172,'IDF Distributions'!$A$1:$A$290,0),MATCH('Bulk Tool'!H$5,'IDF Distributions'!$A$1:$AB$1,0))*INDEX($N$5:$N$11,MATCH(H$6,$L$5:$L$11,0))*IF($E$2="Depth (mm)",(1),IF($E$2="Intensity (mm/hr)",12,0))</f>
        <v>1.1439668785364188</v>
      </c>
      <c r="I172" s="12" t="str">
        <f>IF(COUNTIF($H$7:H172,$H$7)&gt;1,"Do Not Copy","Copy")</f>
        <v>Copy</v>
      </c>
      <c r="L172"/>
      <c r="M172" s="2"/>
    </row>
    <row r="173" spans="1:13" x14ac:dyDescent="0.25">
      <c r="A173" s="128">
        <f t="shared" si="5"/>
        <v>0.5763888888888874</v>
      </c>
      <c r="B173" s="24">
        <f>INDEX('IDF Distributions'!$A$1:$AB$290,MATCH('Bulk Tool'!$A173,'IDF Distributions'!$A$1:$A$290,0),MATCH('Bulk Tool'!B$5,'IDF Distributions'!$A$1:$AB$1,0))*INDEX($N$5:$N$11,MATCH(B$6,$L$5:$L$11,0))*IF($E$2="Depth (mm)",(1),IF($E$2="Intensity (mm/hr)",12,0))</f>
        <v>0.413702441805475</v>
      </c>
      <c r="C173" s="24">
        <f>INDEX('IDF Distributions'!$A$1:$AB$290,MATCH('Bulk Tool'!$A173,'IDF Distributions'!$A$1:$A$290,0),MATCH('Bulk Tool'!C$5,'IDF Distributions'!$A$1:$AB$1,0))*INDEX($N$5:$N$11,MATCH(C$6,$L$5:$L$11,0))*IF($E$2="Depth (mm)",(1),IF($E$2="Intensity (mm/hr)",12,0))</f>
        <v>0.55165752654489408</v>
      </c>
      <c r="D173" s="24">
        <f>INDEX('IDF Distributions'!$A$1:$AB$290,MATCH('Bulk Tool'!$A173,'IDF Distributions'!$A$1:$A$290,0),MATCH('Bulk Tool'!D$5,'IDF Distributions'!$A$1:$AB$1,0))*INDEX($N$5:$N$11,MATCH(D$6,$L$5:$L$11,0))*IF($E$2="Depth (mm)",(1),IF($E$2="Intensity (mm/hr)",12,0))</f>
        <v>0.64960835713847709</v>
      </c>
      <c r="E173" s="24">
        <f>INDEX('IDF Distributions'!$A$1:$AB$290,MATCH('Bulk Tool'!$A173,'IDF Distributions'!$A$1:$A$290,0),MATCH('Bulk Tool'!E$5,'IDF Distributions'!$A$1:$AB$1,0))*INDEX($N$5:$N$11,MATCH(E$6,$L$5:$L$11,0))*IF($E$2="Depth (mm)",(1),IF($E$2="Intensity (mm/hr)",12,0))</f>
        <v>0.78445730888156551</v>
      </c>
      <c r="F173" s="24">
        <f>INDEX('IDF Distributions'!$A$1:$AB$290,MATCH('Bulk Tool'!$A173,'IDF Distributions'!$A$1:$A$290,0),MATCH('Bulk Tool'!F$5,'IDF Distributions'!$A$1:$AB$1,0))*INDEX($N$5:$N$11,MATCH(F$6,$L$5:$L$11,0))*IF($E$2="Depth (mm)",(1),IF($E$2="Intensity (mm/hr)",12,0))</f>
        <v>0.89089041897378574</v>
      </c>
      <c r="G173" s="24">
        <f>INDEX('IDF Distributions'!$A$1:$AB$290,MATCH('Bulk Tool'!$A173,'IDF Distributions'!$A$1:$A$290,0),MATCH('Bulk Tool'!G$5,'IDF Distributions'!$A$1:$AB$1,0))*INDEX($N$5:$N$11,MATCH(G$6,$L$5:$L$11,0))*IF($E$2="Depth (mm)",(1),IF($E$2="Intensity (mm/hr)",12,0))</f>
        <v>1.0034277746532345</v>
      </c>
      <c r="H173" s="24">
        <f>INDEX('IDF Distributions'!$A$1:$AB$290,MATCH('Bulk Tool'!$A173,'IDF Distributions'!$A$1:$A$290,0),MATCH('Bulk Tool'!H$5,'IDF Distributions'!$A$1:$AB$1,0))*INDEX($N$5:$N$11,MATCH(H$6,$L$5:$L$11,0))*IF($E$2="Depth (mm)",(1),IF($E$2="Intensity (mm/hr)",12,0))</f>
        <v>1.1237792277387635</v>
      </c>
      <c r="I173" s="12" t="str">
        <f>IF(COUNTIF($H$7:H173,$H$7)&gt;1,"Do Not Copy","Copy")</f>
        <v>Copy</v>
      </c>
      <c r="L173"/>
      <c r="M173" s="2"/>
    </row>
    <row r="174" spans="1:13" x14ac:dyDescent="0.25">
      <c r="A174" s="128">
        <f t="shared" si="5"/>
        <v>0.57986111111110961</v>
      </c>
      <c r="B174" s="24">
        <f>INDEX('IDF Distributions'!$A$1:$AB$290,MATCH('Bulk Tool'!$A174,'IDF Distributions'!$A$1:$A$290,0),MATCH('Bulk Tool'!B$5,'IDF Distributions'!$A$1:$AB$1,0))*INDEX($N$5:$N$11,MATCH(B$6,$L$5:$L$11,0))*IF($E$2="Depth (mm)",(1),IF($E$2="Intensity (mm/hr)",12,0))</f>
        <v>0.413702441805475</v>
      </c>
      <c r="C174" s="24">
        <f>INDEX('IDF Distributions'!$A$1:$AB$290,MATCH('Bulk Tool'!$A174,'IDF Distributions'!$A$1:$A$290,0),MATCH('Bulk Tool'!C$5,'IDF Distributions'!$A$1:$AB$1,0))*INDEX($N$5:$N$11,MATCH(C$6,$L$5:$L$11,0))*IF($E$2="Depth (mm)",(1),IF($E$2="Intensity (mm/hr)",12,0))</f>
        <v>0.55165752654489408</v>
      </c>
      <c r="D174" s="24">
        <f>INDEX('IDF Distributions'!$A$1:$AB$290,MATCH('Bulk Tool'!$A174,'IDF Distributions'!$A$1:$A$290,0),MATCH('Bulk Tool'!D$5,'IDF Distributions'!$A$1:$AB$1,0))*INDEX($N$5:$N$11,MATCH(D$6,$L$5:$L$11,0))*IF($E$2="Depth (mm)",(1),IF($E$2="Intensity (mm/hr)",12,0))</f>
        <v>0.64960835713847709</v>
      </c>
      <c r="E174" s="24">
        <f>INDEX('IDF Distributions'!$A$1:$AB$290,MATCH('Bulk Tool'!$A174,'IDF Distributions'!$A$1:$A$290,0),MATCH('Bulk Tool'!E$5,'IDF Distributions'!$A$1:$AB$1,0))*INDEX($N$5:$N$11,MATCH(E$6,$L$5:$L$11,0))*IF($E$2="Depth (mm)",(1),IF($E$2="Intensity (mm/hr)",12,0))</f>
        <v>0.78445730888156551</v>
      </c>
      <c r="F174" s="24">
        <f>INDEX('IDF Distributions'!$A$1:$AB$290,MATCH('Bulk Tool'!$A174,'IDF Distributions'!$A$1:$A$290,0),MATCH('Bulk Tool'!F$5,'IDF Distributions'!$A$1:$AB$1,0))*INDEX($N$5:$N$11,MATCH(F$6,$L$5:$L$11,0))*IF($E$2="Depth (mm)",(1),IF($E$2="Intensity (mm/hr)",12,0))</f>
        <v>0.89089041897378574</v>
      </c>
      <c r="G174" s="24">
        <f>INDEX('IDF Distributions'!$A$1:$AB$290,MATCH('Bulk Tool'!$A174,'IDF Distributions'!$A$1:$A$290,0),MATCH('Bulk Tool'!G$5,'IDF Distributions'!$A$1:$AB$1,0))*INDEX($N$5:$N$11,MATCH(G$6,$L$5:$L$11,0))*IF($E$2="Depth (mm)",(1),IF($E$2="Intensity (mm/hr)",12,0))</f>
        <v>1.0034277746532345</v>
      </c>
      <c r="H174" s="24">
        <f>INDEX('IDF Distributions'!$A$1:$AB$290,MATCH('Bulk Tool'!$A174,'IDF Distributions'!$A$1:$A$290,0),MATCH('Bulk Tool'!H$5,'IDF Distributions'!$A$1:$AB$1,0))*INDEX($N$5:$N$11,MATCH(H$6,$L$5:$L$11,0))*IF($E$2="Depth (mm)",(1),IF($E$2="Intensity (mm/hr)",12,0))</f>
        <v>1.1237792277387635</v>
      </c>
      <c r="I174" s="12" t="str">
        <f>IF(COUNTIF($H$7:H174,$H$7)&gt;1,"Do Not Copy","Copy")</f>
        <v>Copy</v>
      </c>
      <c r="L174"/>
      <c r="M174" s="2"/>
    </row>
    <row r="175" spans="1:13" x14ac:dyDescent="0.25">
      <c r="A175" s="128">
        <f t="shared" si="5"/>
        <v>0.58333333333333182</v>
      </c>
      <c r="B175" s="24">
        <f>INDEX('IDF Distributions'!$A$1:$AB$290,MATCH('Bulk Tool'!$A175,'IDF Distributions'!$A$1:$A$290,0),MATCH('Bulk Tool'!B$5,'IDF Distributions'!$A$1:$AB$1,0))*INDEX($N$5:$N$11,MATCH(B$6,$L$5:$L$11,0))*IF($E$2="Depth (mm)",(1),IF($E$2="Intensity (mm/hr)",12,0))</f>
        <v>0.42113422219717267</v>
      </c>
      <c r="C175" s="24">
        <f>INDEX('IDF Distributions'!$A$1:$AB$290,MATCH('Bulk Tool'!$A175,'IDF Distributions'!$A$1:$A$290,0),MATCH('Bulk Tool'!C$5,'IDF Distributions'!$A$1:$AB$1,0))*INDEX($N$5:$N$11,MATCH(C$6,$L$5:$L$11,0))*IF($E$2="Depth (mm)",(1),IF($E$2="Intensity (mm/hr)",12,0))</f>
        <v>0.56156754199178516</v>
      </c>
      <c r="D175" s="24">
        <f>INDEX('IDF Distributions'!$A$1:$AB$290,MATCH('Bulk Tool'!$A175,'IDF Distributions'!$A$1:$A$290,0),MATCH('Bulk Tool'!D$5,'IDF Distributions'!$A$1:$AB$1,0))*INDEX($N$5:$N$11,MATCH(D$6,$L$5:$L$11,0))*IF($E$2="Depth (mm)",(1),IF($E$2="Intensity (mm/hr)",12,0))</f>
        <v>0.66127796834453012</v>
      </c>
      <c r="E175" s="24">
        <f>INDEX('IDF Distributions'!$A$1:$AB$290,MATCH('Bulk Tool'!$A175,'IDF Distributions'!$A$1:$A$290,0),MATCH('Bulk Tool'!E$5,'IDF Distributions'!$A$1:$AB$1,0))*INDEX($N$5:$N$11,MATCH(E$6,$L$5:$L$11,0))*IF($E$2="Depth (mm)",(1),IF($E$2="Intensity (mm/hr)",12,0))</f>
        <v>0.79854935634647084</v>
      </c>
      <c r="F175" s="24">
        <f>INDEX('IDF Distributions'!$A$1:$AB$290,MATCH('Bulk Tool'!$A175,'IDF Distributions'!$A$1:$A$290,0),MATCH('Bulk Tool'!F$5,'IDF Distributions'!$A$1:$AB$1,0))*INDEX($N$5:$N$11,MATCH(F$6,$L$5:$L$11,0))*IF($E$2="Depth (mm)",(1),IF($E$2="Intensity (mm/hr)",12,0))</f>
        <v>0.90689443847627149</v>
      </c>
      <c r="G175" s="24">
        <f>INDEX('IDF Distributions'!$A$1:$AB$290,MATCH('Bulk Tool'!$A175,'IDF Distributions'!$A$1:$A$290,0),MATCH('Bulk Tool'!G$5,'IDF Distributions'!$A$1:$AB$1,0))*INDEX($N$5:$N$11,MATCH(G$6,$L$5:$L$11,0))*IF($E$2="Depth (mm)",(1),IF($E$2="Intensity (mm/hr)",12,0))</f>
        <v>1.0214534232996577</v>
      </c>
      <c r="H175" s="24">
        <f>INDEX('IDF Distributions'!$A$1:$AB$290,MATCH('Bulk Tool'!$A175,'IDF Distributions'!$A$1:$A$290,0),MATCH('Bulk Tool'!H$5,'IDF Distributions'!$A$1:$AB$1,0))*INDEX($N$5:$N$11,MATCH(H$6,$L$5:$L$11,0))*IF($E$2="Depth (mm)",(1),IF($E$2="Intensity (mm/hr)",12,0))</f>
        <v>1.1439668785364188</v>
      </c>
      <c r="I175" s="12" t="str">
        <f>IF(COUNTIF($H$7:H175,$H$7)&gt;1,"Do Not Copy","Copy")</f>
        <v>Copy</v>
      </c>
      <c r="L175"/>
      <c r="M175" s="2"/>
    </row>
    <row r="176" spans="1:13" x14ac:dyDescent="0.25">
      <c r="A176" s="128">
        <f t="shared" si="5"/>
        <v>0.58680555555555403</v>
      </c>
      <c r="B176" s="24">
        <f>INDEX('IDF Distributions'!$A$1:$AB$290,MATCH('Bulk Tool'!$A176,'IDF Distributions'!$A$1:$A$290,0),MATCH('Bulk Tool'!B$5,'IDF Distributions'!$A$1:$AB$1,0))*INDEX($N$5:$N$11,MATCH(B$6,$L$5:$L$11,0))*IF($E$2="Depth (mm)",(1),IF($E$2="Intensity (mm/hr)",12,0))</f>
        <v>0.42113422219718916</v>
      </c>
      <c r="C176" s="24">
        <f>INDEX('IDF Distributions'!$A$1:$AB$290,MATCH('Bulk Tool'!$A176,'IDF Distributions'!$A$1:$A$290,0),MATCH('Bulk Tool'!C$5,'IDF Distributions'!$A$1:$AB$1,0))*INDEX($N$5:$N$11,MATCH(C$6,$L$5:$L$11,0))*IF($E$2="Depth (mm)",(1),IF($E$2="Intensity (mm/hr)",12,0))</f>
        <v>0.56156754199180714</v>
      </c>
      <c r="D176" s="24">
        <f>INDEX('IDF Distributions'!$A$1:$AB$290,MATCH('Bulk Tool'!$A176,'IDF Distributions'!$A$1:$A$290,0),MATCH('Bulk Tool'!D$5,'IDF Distributions'!$A$1:$AB$1,0))*INDEX($N$5:$N$11,MATCH(D$6,$L$5:$L$11,0))*IF($E$2="Depth (mm)",(1),IF($E$2="Intensity (mm/hr)",12,0))</f>
        <v>0.6612779683445561</v>
      </c>
      <c r="E176" s="24">
        <f>INDEX('IDF Distributions'!$A$1:$AB$290,MATCH('Bulk Tool'!$A176,'IDF Distributions'!$A$1:$A$290,0),MATCH('Bulk Tool'!E$5,'IDF Distributions'!$A$1:$AB$1,0))*INDEX($N$5:$N$11,MATCH(E$6,$L$5:$L$11,0))*IF($E$2="Depth (mm)",(1),IF($E$2="Intensity (mm/hr)",12,0))</f>
        <v>0.79854935634650215</v>
      </c>
      <c r="F176" s="24">
        <f>INDEX('IDF Distributions'!$A$1:$AB$290,MATCH('Bulk Tool'!$A176,'IDF Distributions'!$A$1:$A$290,0),MATCH('Bulk Tool'!F$5,'IDF Distributions'!$A$1:$AB$1,0))*INDEX($N$5:$N$11,MATCH(F$6,$L$5:$L$11,0))*IF($E$2="Depth (mm)",(1),IF($E$2="Intensity (mm/hr)",12,0))</f>
        <v>0.90689443847630691</v>
      </c>
      <c r="G176" s="24">
        <f>INDEX('IDF Distributions'!$A$1:$AB$290,MATCH('Bulk Tool'!$A176,'IDF Distributions'!$A$1:$A$290,0),MATCH('Bulk Tool'!G$5,'IDF Distributions'!$A$1:$AB$1,0))*INDEX($N$5:$N$11,MATCH(G$6,$L$5:$L$11,0))*IF($E$2="Depth (mm)",(1),IF($E$2="Intensity (mm/hr)",12,0))</f>
        <v>1.0214534232996977</v>
      </c>
      <c r="H176" s="24">
        <f>INDEX('IDF Distributions'!$A$1:$AB$290,MATCH('Bulk Tool'!$A176,'IDF Distributions'!$A$1:$A$290,0),MATCH('Bulk Tool'!H$5,'IDF Distributions'!$A$1:$AB$1,0))*INDEX($N$5:$N$11,MATCH(H$6,$L$5:$L$11,0))*IF($E$2="Depth (mm)",(1),IF($E$2="Intensity (mm/hr)",12,0))</f>
        <v>1.1439668785364636</v>
      </c>
      <c r="I176" s="12" t="str">
        <f>IF(COUNTIF($H$7:H176,$H$7)&gt;1,"Do Not Copy","Copy")</f>
        <v>Copy</v>
      </c>
      <c r="L176"/>
      <c r="M176" s="2"/>
    </row>
    <row r="177" spans="1:13" x14ac:dyDescent="0.25">
      <c r="A177" s="128">
        <f t="shared" si="5"/>
        <v>0.59027777777777624</v>
      </c>
      <c r="B177" s="24">
        <f>INDEX('IDF Distributions'!$A$1:$AB$290,MATCH('Bulk Tool'!$A177,'IDF Distributions'!$A$1:$A$290,0),MATCH('Bulk Tool'!B$5,'IDF Distributions'!$A$1:$AB$1,0))*INDEX($N$5:$N$11,MATCH(B$6,$L$5:$L$11,0))*IF($E$2="Depth (mm)",(1),IF($E$2="Intensity (mm/hr)",12,0))</f>
        <v>0.42113422219718916</v>
      </c>
      <c r="C177" s="24">
        <f>INDEX('IDF Distributions'!$A$1:$AB$290,MATCH('Bulk Tool'!$A177,'IDF Distributions'!$A$1:$A$290,0),MATCH('Bulk Tool'!C$5,'IDF Distributions'!$A$1:$AB$1,0))*INDEX($N$5:$N$11,MATCH(C$6,$L$5:$L$11,0))*IF($E$2="Depth (mm)",(1),IF($E$2="Intensity (mm/hr)",12,0))</f>
        <v>0.56156754199180714</v>
      </c>
      <c r="D177" s="24">
        <f>INDEX('IDF Distributions'!$A$1:$AB$290,MATCH('Bulk Tool'!$A177,'IDF Distributions'!$A$1:$A$290,0),MATCH('Bulk Tool'!D$5,'IDF Distributions'!$A$1:$AB$1,0))*INDEX($N$5:$N$11,MATCH(D$6,$L$5:$L$11,0))*IF($E$2="Depth (mm)",(1),IF($E$2="Intensity (mm/hr)",12,0))</f>
        <v>0.6612779683445561</v>
      </c>
      <c r="E177" s="24">
        <f>INDEX('IDF Distributions'!$A$1:$AB$290,MATCH('Bulk Tool'!$A177,'IDF Distributions'!$A$1:$A$290,0),MATCH('Bulk Tool'!E$5,'IDF Distributions'!$A$1:$AB$1,0))*INDEX($N$5:$N$11,MATCH(E$6,$L$5:$L$11,0))*IF($E$2="Depth (mm)",(1),IF($E$2="Intensity (mm/hr)",12,0))</f>
        <v>0.79854935634650215</v>
      </c>
      <c r="F177" s="24">
        <f>INDEX('IDF Distributions'!$A$1:$AB$290,MATCH('Bulk Tool'!$A177,'IDF Distributions'!$A$1:$A$290,0),MATCH('Bulk Tool'!F$5,'IDF Distributions'!$A$1:$AB$1,0))*INDEX($N$5:$N$11,MATCH(F$6,$L$5:$L$11,0))*IF($E$2="Depth (mm)",(1),IF($E$2="Intensity (mm/hr)",12,0))</f>
        <v>0.90689443847630691</v>
      </c>
      <c r="G177" s="24">
        <f>INDEX('IDF Distributions'!$A$1:$AB$290,MATCH('Bulk Tool'!$A177,'IDF Distributions'!$A$1:$A$290,0),MATCH('Bulk Tool'!G$5,'IDF Distributions'!$A$1:$AB$1,0))*INDEX($N$5:$N$11,MATCH(G$6,$L$5:$L$11,0))*IF($E$2="Depth (mm)",(1),IF($E$2="Intensity (mm/hr)",12,0))</f>
        <v>1.0214534232996977</v>
      </c>
      <c r="H177" s="24">
        <f>INDEX('IDF Distributions'!$A$1:$AB$290,MATCH('Bulk Tool'!$A177,'IDF Distributions'!$A$1:$A$290,0),MATCH('Bulk Tool'!H$5,'IDF Distributions'!$A$1:$AB$1,0))*INDEX($N$5:$N$11,MATCH(H$6,$L$5:$L$11,0))*IF($E$2="Depth (mm)",(1),IF($E$2="Intensity (mm/hr)",12,0))</f>
        <v>1.1439668785364636</v>
      </c>
      <c r="I177" s="12" t="str">
        <f>IF(COUNTIF($H$7:H177,$H$7)&gt;1,"Do Not Copy","Copy")</f>
        <v>Copy</v>
      </c>
      <c r="L177"/>
      <c r="M177" s="2"/>
    </row>
    <row r="178" spans="1:13" x14ac:dyDescent="0.25">
      <c r="A178" s="128">
        <f t="shared" si="5"/>
        <v>0.59374999999999845</v>
      </c>
      <c r="B178" s="24">
        <f>INDEX('IDF Distributions'!$A$1:$AB$290,MATCH('Bulk Tool'!$A178,'IDF Distributions'!$A$1:$A$290,0),MATCH('Bulk Tool'!B$5,'IDF Distributions'!$A$1:$AB$1,0))*INDEX($N$5:$N$11,MATCH(B$6,$L$5:$L$11,0))*IF($E$2="Depth (mm)",(1),IF($E$2="Intensity (mm/hr)",12,0))</f>
        <v>0.41122518167490352</v>
      </c>
      <c r="C178" s="24">
        <f>INDEX('IDF Distributions'!$A$1:$AB$290,MATCH('Bulk Tool'!$A178,'IDF Distributions'!$A$1:$A$290,0),MATCH('Bulk Tool'!C$5,'IDF Distributions'!$A$1:$AB$1,0))*INDEX($N$5:$N$11,MATCH(C$6,$L$5:$L$11,0))*IF($E$2="Depth (mm)",(1),IF($E$2="Intensity (mm/hr)",12,0))</f>
        <v>0.54835418806258973</v>
      </c>
      <c r="D178" s="24">
        <f>INDEX('IDF Distributions'!$A$1:$AB$290,MATCH('Bulk Tool'!$A178,'IDF Distributions'!$A$1:$A$290,0),MATCH('Bulk Tool'!D$5,'IDF Distributions'!$A$1:$AB$1,0))*INDEX($N$5:$N$11,MATCH(D$6,$L$5:$L$11,0))*IF($E$2="Depth (mm)",(1),IF($E$2="Intensity (mm/hr)",12,0))</f>
        <v>0.64571848673645071</v>
      </c>
      <c r="E178" s="24">
        <f>INDEX('IDF Distributions'!$A$1:$AB$290,MATCH('Bulk Tool'!$A178,'IDF Distributions'!$A$1:$A$290,0),MATCH('Bulk Tool'!E$5,'IDF Distributions'!$A$1:$AB$1,0))*INDEX($N$5:$N$11,MATCH(E$6,$L$5:$L$11,0))*IF($E$2="Depth (mm)",(1),IF($E$2="Intensity (mm/hr)",12,0))</f>
        <v>0.77975995972658674</v>
      </c>
      <c r="F178" s="24">
        <f>INDEX('IDF Distributions'!$A$1:$AB$290,MATCH('Bulk Tool'!$A178,'IDF Distributions'!$A$1:$A$290,0),MATCH('Bulk Tool'!F$5,'IDF Distributions'!$A$1:$AB$1,0))*INDEX($N$5:$N$11,MATCH(F$6,$L$5:$L$11,0))*IF($E$2="Depth (mm)",(1),IF($E$2="Intensity (mm/hr)",12,0))</f>
        <v>0.8855557458062786</v>
      </c>
      <c r="G178" s="24">
        <f>INDEX('IDF Distributions'!$A$1:$AB$290,MATCH('Bulk Tool'!$A178,'IDF Distributions'!$A$1:$A$290,0),MATCH('Bulk Tool'!G$5,'IDF Distributions'!$A$1:$AB$1,0))*INDEX($N$5:$N$11,MATCH(G$6,$L$5:$L$11,0))*IF($E$2="Depth (mm)",(1),IF($E$2="Intensity (mm/hr)",12,0))</f>
        <v>0.99741922510441361</v>
      </c>
      <c r="H178" s="24">
        <f>INDEX('IDF Distributions'!$A$1:$AB$290,MATCH('Bulk Tool'!$A178,'IDF Distributions'!$A$1:$A$290,0),MATCH('Bulk Tool'!H$5,'IDF Distributions'!$A$1:$AB$1,0))*INDEX($N$5:$N$11,MATCH(H$6,$L$5:$L$11,0))*IF($E$2="Depth (mm)",(1),IF($E$2="Intensity (mm/hr)",12,0))</f>
        <v>1.1170500108061969</v>
      </c>
      <c r="I178" s="12" t="str">
        <f>IF(COUNTIF($H$7:H178,$H$7)&gt;1,"Do Not Copy","Copy")</f>
        <v>Copy</v>
      </c>
      <c r="L178"/>
      <c r="M178" s="2"/>
    </row>
    <row r="179" spans="1:13" x14ac:dyDescent="0.25">
      <c r="A179" s="128">
        <f t="shared" si="5"/>
        <v>0.59722222222222066</v>
      </c>
      <c r="B179" s="24">
        <f>INDEX('IDF Distributions'!$A$1:$AB$290,MATCH('Bulk Tool'!$A179,'IDF Distributions'!$A$1:$A$290,0),MATCH('Bulk Tool'!B$5,'IDF Distributions'!$A$1:$AB$1,0))*INDEX($N$5:$N$11,MATCH(B$6,$L$5:$L$11,0))*IF($E$2="Depth (mm)",(1),IF($E$2="Intensity (mm/hr)",12,0))</f>
        <v>0.41617970193604631</v>
      </c>
      <c r="C179" s="24">
        <f>INDEX('IDF Distributions'!$A$1:$AB$290,MATCH('Bulk Tool'!$A179,'IDF Distributions'!$A$1:$A$290,0),MATCH('Bulk Tool'!C$5,'IDF Distributions'!$A$1:$AB$1,0))*INDEX($N$5:$N$11,MATCH(C$6,$L$5:$L$11,0))*IF($E$2="Depth (mm)",(1),IF($E$2="Intensity (mm/hr)",12,0))</f>
        <v>0.55496086502719844</v>
      </c>
      <c r="D179" s="24">
        <f>INDEX('IDF Distributions'!$A$1:$AB$290,MATCH('Bulk Tool'!$A179,'IDF Distributions'!$A$1:$A$290,0),MATCH('Bulk Tool'!D$5,'IDF Distributions'!$A$1:$AB$1,0))*INDEX($N$5:$N$11,MATCH(D$6,$L$5:$L$11,0))*IF($E$2="Depth (mm)",(1),IF($E$2="Intensity (mm/hr)",12,0))</f>
        <v>0.65349822754050335</v>
      </c>
      <c r="E179" s="24">
        <f>INDEX('IDF Distributions'!$A$1:$AB$290,MATCH('Bulk Tool'!$A179,'IDF Distributions'!$A$1:$A$290,0),MATCH('Bulk Tool'!E$5,'IDF Distributions'!$A$1:$AB$1,0))*INDEX($N$5:$N$11,MATCH(E$6,$L$5:$L$11,0))*IF($E$2="Depth (mm)",(1),IF($E$2="Intensity (mm/hr)",12,0))</f>
        <v>0.7891546580365445</v>
      </c>
      <c r="F179" s="24">
        <f>INDEX('IDF Distributions'!$A$1:$AB$290,MATCH('Bulk Tool'!$A179,'IDF Distributions'!$A$1:$A$290,0),MATCH('Bulk Tool'!F$5,'IDF Distributions'!$A$1:$AB$1,0))*INDEX($N$5:$N$11,MATCH(F$6,$L$5:$L$11,0))*IF($E$2="Depth (mm)",(1),IF($E$2="Intensity (mm/hr)",12,0))</f>
        <v>0.89622509214129287</v>
      </c>
      <c r="G179" s="24">
        <f>INDEX('IDF Distributions'!$A$1:$AB$290,MATCH('Bulk Tool'!$A179,'IDF Distributions'!$A$1:$A$290,0),MATCH('Bulk Tool'!G$5,'IDF Distributions'!$A$1:$AB$1,0))*INDEX($N$5:$N$11,MATCH(G$6,$L$5:$L$11,0))*IF($E$2="Depth (mm)",(1),IF($E$2="Intensity (mm/hr)",12,0))</f>
        <v>1.0094363242020556</v>
      </c>
      <c r="H179" s="24">
        <f>INDEX('IDF Distributions'!$A$1:$AB$290,MATCH('Bulk Tool'!$A179,'IDF Distributions'!$A$1:$A$290,0),MATCH('Bulk Tool'!H$5,'IDF Distributions'!$A$1:$AB$1,0))*INDEX($N$5:$N$11,MATCH(H$6,$L$5:$L$11,0))*IF($E$2="Depth (mm)",(1),IF($E$2="Intensity (mm/hr)",12,0))</f>
        <v>1.1305084446713303</v>
      </c>
      <c r="I179" s="12" t="str">
        <f>IF(COUNTIF($H$7:H179,$H$7)&gt;1,"Do Not Copy","Copy")</f>
        <v>Copy</v>
      </c>
      <c r="L179"/>
      <c r="M179" s="2"/>
    </row>
    <row r="180" spans="1:13" x14ac:dyDescent="0.25">
      <c r="A180" s="128">
        <f t="shared" si="5"/>
        <v>0.60069444444444287</v>
      </c>
      <c r="B180" s="24">
        <f>INDEX('IDF Distributions'!$A$1:$AB$290,MATCH('Bulk Tool'!$A180,'IDF Distributions'!$A$1:$A$290,0),MATCH('Bulk Tool'!B$5,'IDF Distributions'!$A$1:$AB$1,0))*INDEX($N$5:$N$11,MATCH(B$6,$L$5:$L$11,0))*IF($E$2="Depth (mm)",(1),IF($E$2="Intensity (mm/hr)",12,0))</f>
        <v>0.41617970193604631</v>
      </c>
      <c r="C180" s="24">
        <f>INDEX('IDF Distributions'!$A$1:$AB$290,MATCH('Bulk Tool'!$A180,'IDF Distributions'!$A$1:$A$290,0),MATCH('Bulk Tool'!C$5,'IDF Distributions'!$A$1:$AB$1,0))*INDEX($N$5:$N$11,MATCH(C$6,$L$5:$L$11,0))*IF($E$2="Depth (mm)",(1),IF($E$2="Intensity (mm/hr)",12,0))</f>
        <v>0.55496086502719844</v>
      </c>
      <c r="D180" s="24">
        <f>INDEX('IDF Distributions'!$A$1:$AB$290,MATCH('Bulk Tool'!$A180,'IDF Distributions'!$A$1:$A$290,0),MATCH('Bulk Tool'!D$5,'IDF Distributions'!$A$1:$AB$1,0))*INDEX($N$5:$N$11,MATCH(D$6,$L$5:$L$11,0))*IF($E$2="Depth (mm)",(1),IF($E$2="Intensity (mm/hr)",12,0))</f>
        <v>0.65349822754050335</v>
      </c>
      <c r="E180" s="24">
        <f>INDEX('IDF Distributions'!$A$1:$AB$290,MATCH('Bulk Tool'!$A180,'IDF Distributions'!$A$1:$A$290,0),MATCH('Bulk Tool'!E$5,'IDF Distributions'!$A$1:$AB$1,0))*INDEX($N$5:$N$11,MATCH(E$6,$L$5:$L$11,0))*IF($E$2="Depth (mm)",(1),IF($E$2="Intensity (mm/hr)",12,0))</f>
        <v>0.7891546580365445</v>
      </c>
      <c r="F180" s="24">
        <f>INDEX('IDF Distributions'!$A$1:$AB$290,MATCH('Bulk Tool'!$A180,'IDF Distributions'!$A$1:$A$290,0),MATCH('Bulk Tool'!F$5,'IDF Distributions'!$A$1:$AB$1,0))*INDEX($N$5:$N$11,MATCH(F$6,$L$5:$L$11,0))*IF($E$2="Depth (mm)",(1),IF($E$2="Intensity (mm/hr)",12,0))</f>
        <v>0.89622509214129287</v>
      </c>
      <c r="G180" s="24">
        <f>INDEX('IDF Distributions'!$A$1:$AB$290,MATCH('Bulk Tool'!$A180,'IDF Distributions'!$A$1:$A$290,0),MATCH('Bulk Tool'!G$5,'IDF Distributions'!$A$1:$AB$1,0))*INDEX($N$5:$N$11,MATCH(G$6,$L$5:$L$11,0))*IF($E$2="Depth (mm)",(1),IF($E$2="Intensity (mm/hr)",12,0))</f>
        <v>1.0094363242020556</v>
      </c>
      <c r="H180" s="24">
        <f>INDEX('IDF Distributions'!$A$1:$AB$290,MATCH('Bulk Tool'!$A180,'IDF Distributions'!$A$1:$A$290,0),MATCH('Bulk Tool'!H$5,'IDF Distributions'!$A$1:$AB$1,0))*INDEX($N$5:$N$11,MATCH(H$6,$L$5:$L$11,0))*IF($E$2="Depth (mm)",(1),IF($E$2="Intensity (mm/hr)",12,0))</f>
        <v>1.1305084446713303</v>
      </c>
      <c r="I180" s="12" t="str">
        <f>IF(COUNTIF($H$7:H180,$H$7)&gt;1,"Do Not Copy","Copy")</f>
        <v>Copy</v>
      </c>
      <c r="L180"/>
      <c r="M180" s="2"/>
    </row>
    <row r="181" spans="1:13" x14ac:dyDescent="0.25">
      <c r="A181" s="128">
        <f t="shared" si="5"/>
        <v>0.60416666666666508</v>
      </c>
      <c r="B181" s="24">
        <f>INDEX('IDF Distributions'!$A$1:$AB$290,MATCH('Bulk Tool'!$A181,'IDF Distributions'!$A$1:$A$290,0),MATCH('Bulk Tool'!B$5,'IDF Distributions'!$A$1:$AB$1,0))*INDEX($N$5:$N$11,MATCH(B$6,$L$5:$L$11,0))*IF($E$2="Depth (mm)",(1),IF($E$2="Intensity (mm/hr)",12,0))</f>
        <v>0.40874792154431561</v>
      </c>
      <c r="C181" s="24">
        <f>INDEX('IDF Distributions'!$A$1:$AB$290,MATCH('Bulk Tool'!$A181,'IDF Distributions'!$A$1:$A$290,0),MATCH('Bulk Tool'!C$5,'IDF Distributions'!$A$1:$AB$1,0))*INDEX($N$5:$N$11,MATCH(C$6,$L$5:$L$11,0))*IF($E$2="Depth (mm)",(1),IF($E$2="Intensity (mm/hr)",12,0))</f>
        <v>0.5450508495802634</v>
      </c>
      <c r="D181" s="24">
        <f>INDEX('IDF Distributions'!$A$1:$AB$290,MATCH('Bulk Tool'!$A181,'IDF Distributions'!$A$1:$A$290,0),MATCH('Bulk Tool'!D$5,'IDF Distributions'!$A$1:$AB$1,0))*INDEX($N$5:$N$11,MATCH(D$6,$L$5:$L$11,0))*IF($E$2="Depth (mm)",(1),IF($E$2="Intensity (mm/hr)",12,0))</f>
        <v>0.64182861633439847</v>
      </c>
      <c r="E181" s="24">
        <f>INDEX('IDF Distributions'!$A$1:$AB$290,MATCH('Bulk Tool'!$A181,'IDF Distributions'!$A$1:$A$290,0),MATCH('Bulk Tool'!E$5,'IDF Distributions'!$A$1:$AB$1,0))*INDEX($N$5:$N$11,MATCH(E$6,$L$5:$L$11,0))*IF($E$2="Depth (mm)",(1),IF($E$2="Intensity (mm/hr)",12,0))</f>
        <v>0.77506261057157655</v>
      </c>
      <c r="F181" s="24">
        <f>INDEX('IDF Distributions'!$A$1:$AB$290,MATCH('Bulk Tool'!$A181,'IDF Distributions'!$A$1:$A$290,0),MATCH('Bulk Tool'!F$5,'IDF Distributions'!$A$1:$AB$1,0))*INDEX($N$5:$N$11,MATCH(F$6,$L$5:$L$11,0))*IF($E$2="Depth (mm)",(1),IF($E$2="Intensity (mm/hr)",12,0))</f>
        <v>0.88022107263873606</v>
      </c>
      <c r="G181" s="24">
        <f>INDEX('IDF Distributions'!$A$1:$AB$290,MATCH('Bulk Tool'!$A181,'IDF Distributions'!$A$1:$A$290,0),MATCH('Bulk Tool'!G$5,'IDF Distributions'!$A$1:$AB$1,0))*INDEX($N$5:$N$11,MATCH(G$6,$L$5:$L$11,0))*IF($E$2="Depth (mm)",(1),IF($E$2="Intensity (mm/hr)",12,0))</f>
        <v>0.99141067555555251</v>
      </c>
      <c r="H181" s="24">
        <f>INDEX('IDF Distributions'!$A$1:$AB$290,MATCH('Bulk Tool'!$A181,'IDF Distributions'!$A$1:$A$290,0),MATCH('Bulk Tool'!H$5,'IDF Distributions'!$A$1:$AB$1,0))*INDEX($N$5:$N$11,MATCH(H$6,$L$5:$L$11,0))*IF($E$2="Depth (mm)",(1),IF($E$2="Intensity (mm/hr)",12,0))</f>
        <v>1.1103207938735855</v>
      </c>
      <c r="I181" s="12" t="str">
        <f>IF(COUNTIF($H$7:H181,$H$7)&gt;1,"Do Not Copy","Copy")</f>
        <v>Copy</v>
      </c>
      <c r="L181"/>
      <c r="M181" s="2"/>
    </row>
    <row r="182" spans="1:13" x14ac:dyDescent="0.25">
      <c r="A182" s="128">
        <f t="shared" si="5"/>
        <v>0.60763888888888729</v>
      </c>
      <c r="B182" s="24">
        <f>INDEX('IDF Distributions'!$A$1:$AB$290,MATCH('Bulk Tool'!$A182,'IDF Distributions'!$A$1:$A$290,0),MATCH('Bulk Tool'!B$5,'IDF Distributions'!$A$1:$AB$1,0))*INDEX($N$5:$N$11,MATCH(B$6,$L$5:$L$11,0))*IF($E$2="Depth (mm)",(1),IF($E$2="Intensity (mm/hr)",12,0))</f>
        <v>0.40874792154433215</v>
      </c>
      <c r="C182" s="24">
        <f>INDEX('IDF Distributions'!$A$1:$AB$290,MATCH('Bulk Tool'!$A182,'IDF Distributions'!$A$1:$A$290,0),MATCH('Bulk Tool'!C$5,'IDF Distributions'!$A$1:$AB$1,0))*INDEX($N$5:$N$11,MATCH(C$6,$L$5:$L$11,0))*IF($E$2="Depth (mm)",(1),IF($E$2="Intensity (mm/hr)",12,0))</f>
        <v>0.54505084958028538</v>
      </c>
      <c r="D182" s="24">
        <f>INDEX('IDF Distributions'!$A$1:$AB$290,MATCH('Bulk Tool'!$A182,'IDF Distributions'!$A$1:$A$290,0),MATCH('Bulk Tool'!D$5,'IDF Distributions'!$A$1:$AB$1,0))*INDEX($N$5:$N$11,MATCH(D$6,$L$5:$L$11,0))*IF($E$2="Depth (mm)",(1),IF($E$2="Intensity (mm/hr)",12,0))</f>
        <v>0.64182861633442434</v>
      </c>
      <c r="E182" s="24">
        <f>INDEX('IDF Distributions'!$A$1:$AB$290,MATCH('Bulk Tool'!$A182,'IDF Distributions'!$A$1:$A$290,0),MATCH('Bulk Tool'!E$5,'IDF Distributions'!$A$1:$AB$1,0))*INDEX($N$5:$N$11,MATCH(E$6,$L$5:$L$11,0))*IF($E$2="Depth (mm)",(1),IF($E$2="Intensity (mm/hr)",12,0))</f>
        <v>0.77506261057160786</v>
      </c>
      <c r="F182" s="24">
        <f>INDEX('IDF Distributions'!$A$1:$AB$290,MATCH('Bulk Tool'!$A182,'IDF Distributions'!$A$1:$A$290,0),MATCH('Bulk Tool'!F$5,'IDF Distributions'!$A$1:$AB$1,0))*INDEX($N$5:$N$11,MATCH(F$6,$L$5:$L$11,0))*IF($E$2="Depth (mm)",(1),IF($E$2="Intensity (mm/hr)",12,0))</f>
        <v>0.88022107263877158</v>
      </c>
      <c r="G182" s="24">
        <f>INDEX('IDF Distributions'!$A$1:$AB$290,MATCH('Bulk Tool'!$A182,'IDF Distributions'!$A$1:$A$290,0),MATCH('Bulk Tool'!G$5,'IDF Distributions'!$A$1:$AB$1,0))*INDEX($N$5:$N$11,MATCH(G$6,$L$5:$L$11,0))*IF($E$2="Depth (mm)",(1),IF($E$2="Intensity (mm/hr)",12,0))</f>
        <v>0.99141067555559259</v>
      </c>
      <c r="H182" s="24">
        <f>INDEX('IDF Distributions'!$A$1:$AB$290,MATCH('Bulk Tool'!$A182,'IDF Distributions'!$A$1:$A$290,0),MATCH('Bulk Tool'!H$5,'IDF Distributions'!$A$1:$AB$1,0))*INDEX($N$5:$N$11,MATCH(H$6,$L$5:$L$11,0))*IF($E$2="Depth (mm)",(1),IF($E$2="Intensity (mm/hr)",12,0))</f>
        <v>1.1103207938736301</v>
      </c>
      <c r="I182" s="12" t="str">
        <f>IF(COUNTIF($H$7:H182,$H$7)&gt;1,"Do Not Copy","Copy")</f>
        <v>Copy</v>
      </c>
      <c r="L182"/>
      <c r="M182" s="2"/>
    </row>
    <row r="183" spans="1:13" x14ac:dyDescent="0.25">
      <c r="A183" s="128">
        <f t="shared" si="5"/>
        <v>0.6111111111111095</v>
      </c>
      <c r="B183" s="24">
        <f>INDEX('IDF Distributions'!$A$1:$AB$290,MATCH('Bulk Tool'!$A183,'IDF Distributions'!$A$1:$A$290,0),MATCH('Bulk Tool'!B$5,'IDF Distributions'!$A$1:$AB$1,0))*INDEX($N$5:$N$11,MATCH(B$6,$L$5:$L$11,0))*IF($E$2="Depth (mm)",(1),IF($E$2="Intensity (mm/hr)",12,0))</f>
        <v>0.40874792154433215</v>
      </c>
      <c r="C183" s="24">
        <f>INDEX('IDF Distributions'!$A$1:$AB$290,MATCH('Bulk Tool'!$A183,'IDF Distributions'!$A$1:$A$290,0),MATCH('Bulk Tool'!C$5,'IDF Distributions'!$A$1:$AB$1,0))*INDEX($N$5:$N$11,MATCH(C$6,$L$5:$L$11,0))*IF($E$2="Depth (mm)",(1),IF($E$2="Intensity (mm/hr)",12,0))</f>
        <v>0.54505084958028538</v>
      </c>
      <c r="D183" s="24">
        <f>INDEX('IDF Distributions'!$A$1:$AB$290,MATCH('Bulk Tool'!$A183,'IDF Distributions'!$A$1:$A$290,0),MATCH('Bulk Tool'!D$5,'IDF Distributions'!$A$1:$AB$1,0))*INDEX($N$5:$N$11,MATCH(D$6,$L$5:$L$11,0))*IF($E$2="Depth (mm)",(1),IF($E$2="Intensity (mm/hr)",12,0))</f>
        <v>0.64182861633442434</v>
      </c>
      <c r="E183" s="24">
        <f>INDEX('IDF Distributions'!$A$1:$AB$290,MATCH('Bulk Tool'!$A183,'IDF Distributions'!$A$1:$A$290,0),MATCH('Bulk Tool'!E$5,'IDF Distributions'!$A$1:$AB$1,0))*INDEX($N$5:$N$11,MATCH(E$6,$L$5:$L$11,0))*IF($E$2="Depth (mm)",(1),IF($E$2="Intensity (mm/hr)",12,0))</f>
        <v>0.77506261057160786</v>
      </c>
      <c r="F183" s="24">
        <f>INDEX('IDF Distributions'!$A$1:$AB$290,MATCH('Bulk Tool'!$A183,'IDF Distributions'!$A$1:$A$290,0),MATCH('Bulk Tool'!F$5,'IDF Distributions'!$A$1:$AB$1,0))*INDEX($N$5:$N$11,MATCH(F$6,$L$5:$L$11,0))*IF($E$2="Depth (mm)",(1),IF($E$2="Intensity (mm/hr)",12,0))</f>
        <v>0.88022107263877158</v>
      </c>
      <c r="G183" s="24">
        <f>INDEX('IDF Distributions'!$A$1:$AB$290,MATCH('Bulk Tool'!$A183,'IDF Distributions'!$A$1:$A$290,0),MATCH('Bulk Tool'!G$5,'IDF Distributions'!$A$1:$AB$1,0))*INDEX($N$5:$N$11,MATCH(G$6,$L$5:$L$11,0))*IF($E$2="Depth (mm)",(1),IF($E$2="Intensity (mm/hr)",12,0))</f>
        <v>0.99141067555559259</v>
      </c>
      <c r="H183" s="24">
        <f>INDEX('IDF Distributions'!$A$1:$AB$290,MATCH('Bulk Tool'!$A183,'IDF Distributions'!$A$1:$A$290,0),MATCH('Bulk Tool'!H$5,'IDF Distributions'!$A$1:$AB$1,0))*INDEX($N$5:$N$11,MATCH(H$6,$L$5:$L$11,0))*IF($E$2="Depth (mm)",(1),IF($E$2="Intensity (mm/hr)",12,0))</f>
        <v>1.1103207938736301</v>
      </c>
      <c r="I183" s="12" t="str">
        <f>IF(COUNTIF($H$7:H183,$H$7)&gt;1,"Do Not Copy","Copy")</f>
        <v>Copy</v>
      </c>
      <c r="L183"/>
      <c r="M183" s="2"/>
    </row>
    <row r="184" spans="1:13" x14ac:dyDescent="0.25">
      <c r="A184" s="128">
        <f t="shared" si="5"/>
        <v>0.61458333333333171</v>
      </c>
      <c r="B184" s="24">
        <f>INDEX('IDF Distributions'!$A$1:$AB$290,MATCH('Bulk Tool'!$A184,'IDF Distributions'!$A$1:$A$290,0),MATCH('Bulk Tool'!B$5,'IDF Distributions'!$A$1:$AB$1,0))*INDEX($N$5:$N$11,MATCH(B$6,$L$5:$L$11,0))*IF($E$2="Depth (mm)",(1),IF($E$2="Intensity (mm/hr)",12,0))</f>
        <v>0.40874792154433215</v>
      </c>
      <c r="C184" s="24">
        <f>INDEX('IDF Distributions'!$A$1:$AB$290,MATCH('Bulk Tool'!$A184,'IDF Distributions'!$A$1:$A$290,0),MATCH('Bulk Tool'!C$5,'IDF Distributions'!$A$1:$AB$1,0))*INDEX($N$5:$N$11,MATCH(C$6,$L$5:$L$11,0))*IF($E$2="Depth (mm)",(1),IF($E$2="Intensity (mm/hr)",12,0))</f>
        <v>0.54505084958028538</v>
      </c>
      <c r="D184" s="24">
        <f>INDEX('IDF Distributions'!$A$1:$AB$290,MATCH('Bulk Tool'!$A184,'IDF Distributions'!$A$1:$A$290,0),MATCH('Bulk Tool'!D$5,'IDF Distributions'!$A$1:$AB$1,0))*INDEX($N$5:$N$11,MATCH(D$6,$L$5:$L$11,0))*IF($E$2="Depth (mm)",(1),IF($E$2="Intensity (mm/hr)",12,0))</f>
        <v>0.64182861633442434</v>
      </c>
      <c r="E184" s="24">
        <f>INDEX('IDF Distributions'!$A$1:$AB$290,MATCH('Bulk Tool'!$A184,'IDF Distributions'!$A$1:$A$290,0),MATCH('Bulk Tool'!E$5,'IDF Distributions'!$A$1:$AB$1,0))*INDEX($N$5:$N$11,MATCH(E$6,$L$5:$L$11,0))*IF($E$2="Depth (mm)",(1),IF($E$2="Intensity (mm/hr)",12,0))</f>
        <v>0.77506261057160786</v>
      </c>
      <c r="F184" s="24">
        <f>INDEX('IDF Distributions'!$A$1:$AB$290,MATCH('Bulk Tool'!$A184,'IDF Distributions'!$A$1:$A$290,0),MATCH('Bulk Tool'!F$5,'IDF Distributions'!$A$1:$AB$1,0))*INDEX($N$5:$N$11,MATCH(F$6,$L$5:$L$11,0))*IF($E$2="Depth (mm)",(1),IF($E$2="Intensity (mm/hr)",12,0))</f>
        <v>0.88022107263877158</v>
      </c>
      <c r="G184" s="24">
        <f>INDEX('IDF Distributions'!$A$1:$AB$290,MATCH('Bulk Tool'!$A184,'IDF Distributions'!$A$1:$A$290,0),MATCH('Bulk Tool'!G$5,'IDF Distributions'!$A$1:$AB$1,0))*INDEX($N$5:$N$11,MATCH(G$6,$L$5:$L$11,0))*IF($E$2="Depth (mm)",(1),IF($E$2="Intensity (mm/hr)",12,0))</f>
        <v>0.99141067555559259</v>
      </c>
      <c r="H184" s="24">
        <f>INDEX('IDF Distributions'!$A$1:$AB$290,MATCH('Bulk Tool'!$A184,'IDF Distributions'!$A$1:$A$290,0),MATCH('Bulk Tool'!H$5,'IDF Distributions'!$A$1:$AB$1,0))*INDEX($N$5:$N$11,MATCH(H$6,$L$5:$L$11,0))*IF($E$2="Depth (mm)",(1),IF($E$2="Intensity (mm/hr)",12,0))</f>
        <v>1.1103207938736301</v>
      </c>
      <c r="I184" s="12" t="str">
        <f>IF(COUNTIF($H$7:H184,$H$7)&gt;1,"Do Not Copy","Copy")</f>
        <v>Copy</v>
      </c>
      <c r="L184"/>
      <c r="M184" s="2"/>
    </row>
    <row r="185" spans="1:13" x14ac:dyDescent="0.25">
      <c r="A185" s="128">
        <f t="shared" si="5"/>
        <v>0.61805555555555391</v>
      </c>
      <c r="B185" s="24">
        <f>INDEX('IDF Distributions'!$A$1:$AB$290,MATCH('Bulk Tool'!$A185,'IDF Distributions'!$A$1:$A$290,0),MATCH('Bulk Tool'!B$5,'IDF Distributions'!$A$1:$AB$1,0))*INDEX($N$5:$N$11,MATCH(B$6,$L$5:$L$11,0))*IF($E$2="Depth (mm)",(1),IF($E$2="Intensity (mm/hr)",12,0))</f>
        <v>0.40874792154433215</v>
      </c>
      <c r="C185" s="24">
        <f>INDEX('IDF Distributions'!$A$1:$AB$290,MATCH('Bulk Tool'!$A185,'IDF Distributions'!$A$1:$A$290,0),MATCH('Bulk Tool'!C$5,'IDF Distributions'!$A$1:$AB$1,0))*INDEX($N$5:$N$11,MATCH(C$6,$L$5:$L$11,0))*IF($E$2="Depth (mm)",(1),IF($E$2="Intensity (mm/hr)",12,0))</f>
        <v>0.54505084958028538</v>
      </c>
      <c r="D185" s="24">
        <f>INDEX('IDF Distributions'!$A$1:$AB$290,MATCH('Bulk Tool'!$A185,'IDF Distributions'!$A$1:$A$290,0),MATCH('Bulk Tool'!D$5,'IDF Distributions'!$A$1:$AB$1,0))*INDEX($N$5:$N$11,MATCH(D$6,$L$5:$L$11,0))*IF($E$2="Depth (mm)",(1),IF($E$2="Intensity (mm/hr)",12,0))</f>
        <v>0.64182861633442434</v>
      </c>
      <c r="E185" s="24">
        <f>INDEX('IDF Distributions'!$A$1:$AB$290,MATCH('Bulk Tool'!$A185,'IDF Distributions'!$A$1:$A$290,0),MATCH('Bulk Tool'!E$5,'IDF Distributions'!$A$1:$AB$1,0))*INDEX($N$5:$N$11,MATCH(E$6,$L$5:$L$11,0))*IF($E$2="Depth (mm)",(1),IF($E$2="Intensity (mm/hr)",12,0))</f>
        <v>0.77506261057160786</v>
      </c>
      <c r="F185" s="24">
        <f>INDEX('IDF Distributions'!$A$1:$AB$290,MATCH('Bulk Tool'!$A185,'IDF Distributions'!$A$1:$A$290,0),MATCH('Bulk Tool'!F$5,'IDF Distributions'!$A$1:$AB$1,0))*INDEX($N$5:$N$11,MATCH(F$6,$L$5:$L$11,0))*IF($E$2="Depth (mm)",(1),IF($E$2="Intensity (mm/hr)",12,0))</f>
        <v>0.88022107263877158</v>
      </c>
      <c r="G185" s="24">
        <f>INDEX('IDF Distributions'!$A$1:$AB$290,MATCH('Bulk Tool'!$A185,'IDF Distributions'!$A$1:$A$290,0),MATCH('Bulk Tool'!G$5,'IDF Distributions'!$A$1:$AB$1,0))*INDEX($N$5:$N$11,MATCH(G$6,$L$5:$L$11,0))*IF($E$2="Depth (mm)",(1),IF($E$2="Intensity (mm/hr)",12,0))</f>
        <v>0.99141067555559259</v>
      </c>
      <c r="H185" s="24">
        <f>INDEX('IDF Distributions'!$A$1:$AB$290,MATCH('Bulk Tool'!$A185,'IDF Distributions'!$A$1:$A$290,0),MATCH('Bulk Tool'!H$5,'IDF Distributions'!$A$1:$AB$1,0))*INDEX($N$5:$N$11,MATCH(H$6,$L$5:$L$11,0))*IF($E$2="Depth (mm)",(1),IF($E$2="Intensity (mm/hr)",12,0))</f>
        <v>1.1103207938736301</v>
      </c>
      <c r="I185" s="12" t="str">
        <f>IF(COUNTIF($H$7:H185,$H$7)&gt;1,"Do Not Copy","Copy")</f>
        <v>Copy</v>
      </c>
      <c r="L185"/>
      <c r="M185" s="2"/>
    </row>
    <row r="186" spans="1:13" x14ac:dyDescent="0.25">
      <c r="A186" s="128">
        <f t="shared" si="5"/>
        <v>0.62152777777777612</v>
      </c>
      <c r="B186" s="24">
        <f>INDEX('IDF Distributions'!$A$1:$AB$290,MATCH('Bulk Tool'!$A186,'IDF Distributions'!$A$1:$A$290,0),MATCH('Bulk Tool'!B$5,'IDF Distributions'!$A$1:$AB$1,0))*INDEX($N$5:$N$11,MATCH(B$6,$L$5:$L$11,0))*IF($E$2="Depth (mm)",(1),IF($E$2="Intensity (mm/hr)",12,0))</f>
        <v>0.40379340128317276</v>
      </c>
      <c r="C186" s="24">
        <f>INDEX('IDF Distributions'!$A$1:$AB$290,MATCH('Bulk Tool'!$A186,'IDF Distributions'!$A$1:$A$290,0),MATCH('Bulk Tool'!C$5,'IDF Distributions'!$A$1:$AB$1,0))*INDEX($N$5:$N$11,MATCH(C$6,$L$5:$L$11,0))*IF($E$2="Depth (mm)",(1),IF($E$2="Intensity (mm/hr)",12,0))</f>
        <v>0.53844417261565469</v>
      </c>
      <c r="D186" s="24">
        <f>INDEX('IDF Distributions'!$A$1:$AB$290,MATCH('Bulk Tool'!$A186,'IDF Distributions'!$A$1:$A$290,0),MATCH('Bulk Tool'!D$5,'IDF Distributions'!$A$1:$AB$1,0))*INDEX($N$5:$N$11,MATCH(D$6,$L$5:$L$11,0))*IF($E$2="Depth (mm)",(1),IF($E$2="Intensity (mm/hr)",12,0))</f>
        <v>0.63404887553034572</v>
      </c>
      <c r="E186" s="24">
        <f>INDEX('IDF Distributions'!$A$1:$AB$290,MATCH('Bulk Tool'!$A186,'IDF Distributions'!$A$1:$A$290,0),MATCH('Bulk Tool'!E$5,'IDF Distributions'!$A$1:$AB$1,0))*INDEX($N$5:$N$11,MATCH(E$6,$L$5:$L$11,0))*IF($E$2="Depth (mm)",(1),IF($E$2="Intensity (mm/hr)",12,0))</f>
        <v>0.76566791226161879</v>
      </c>
      <c r="F186" s="24">
        <f>INDEX('IDF Distributions'!$A$1:$AB$290,MATCH('Bulk Tool'!$A186,'IDF Distributions'!$A$1:$A$290,0),MATCH('Bulk Tool'!F$5,'IDF Distributions'!$A$1:$AB$1,0))*INDEX($N$5:$N$11,MATCH(F$6,$L$5:$L$11,0))*IF($E$2="Depth (mm)",(1),IF($E$2="Intensity (mm/hr)",12,0))</f>
        <v>0.86955172630372202</v>
      </c>
      <c r="G186" s="24">
        <f>INDEX('IDF Distributions'!$A$1:$AB$290,MATCH('Bulk Tool'!$A186,'IDF Distributions'!$A$1:$A$290,0),MATCH('Bulk Tool'!G$5,'IDF Distributions'!$A$1:$AB$1,0))*INDEX($N$5:$N$11,MATCH(G$6,$L$5:$L$11,0))*IF($E$2="Depth (mm)",(1),IF($E$2="Intensity (mm/hr)",12,0))</f>
        <v>0.97939357645791048</v>
      </c>
      <c r="H186" s="24">
        <f>INDEX('IDF Distributions'!$A$1:$AB$290,MATCH('Bulk Tool'!$A186,'IDF Distributions'!$A$1:$A$290,0),MATCH('Bulk Tool'!H$5,'IDF Distributions'!$A$1:$AB$1,0))*INDEX($N$5:$N$11,MATCH(H$6,$L$5:$L$11,0))*IF($E$2="Depth (mm)",(1),IF($E$2="Intensity (mm/hr)",12,0))</f>
        <v>1.0968623600084522</v>
      </c>
      <c r="I186" s="12" t="str">
        <f>IF(COUNTIF($H$7:H186,$H$7)&gt;1,"Do Not Copy","Copy")</f>
        <v>Copy</v>
      </c>
      <c r="L186"/>
      <c r="M186" s="2"/>
    </row>
    <row r="187" spans="1:13" x14ac:dyDescent="0.25">
      <c r="A187" s="128">
        <f t="shared" si="5"/>
        <v>0.62499999999999833</v>
      </c>
      <c r="B187" s="24">
        <f>INDEX('IDF Distributions'!$A$1:$AB$290,MATCH('Bulk Tool'!$A187,'IDF Distributions'!$A$1:$A$290,0),MATCH('Bulk Tool'!B$5,'IDF Distributions'!$A$1:$AB$1,0))*INDEX($N$5:$N$11,MATCH(B$6,$L$5:$L$11,0))*IF($E$2="Depth (mm)",(1),IF($E$2="Intensity (mm/hr)",12,0))</f>
        <v>0.39883888102202991</v>
      </c>
      <c r="C187" s="24">
        <f>INDEX('IDF Distributions'!$A$1:$AB$290,MATCH('Bulk Tool'!$A187,'IDF Distributions'!$A$1:$A$290,0),MATCH('Bulk Tool'!C$5,'IDF Distributions'!$A$1:$AB$1,0))*INDEX($N$5:$N$11,MATCH(C$6,$L$5:$L$11,0))*IF($E$2="Depth (mm)",(1),IF($E$2="Intensity (mm/hr)",12,0))</f>
        <v>0.53183749565104588</v>
      </c>
      <c r="D187" s="24">
        <f>INDEX('IDF Distributions'!$A$1:$AB$290,MATCH('Bulk Tool'!$A187,'IDF Distributions'!$A$1:$A$290,0),MATCH('Bulk Tool'!D$5,'IDF Distributions'!$A$1:$AB$1,0))*INDEX($N$5:$N$11,MATCH(D$6,$L$5:$L$11,0))*IF($E$2="Depth (mm)",(1),IF($E$2="Intensity (mm/hr)",12,0))</f>
        <v>0.62626913472629309</v>
      </c>
      <c r="E187" s="24">
        <f>INDEX('IDF Distributions'!$A$1:$AB$290,MATCH('Bulk Tool'!$A187,'IDF Distributions'!$A$1:$A$290,0),MATCH('Bulk Tool'!E$5,'IDF Distributions'!$A$1:$AB$1,0))*INDEX($N$5:$N$11,MATCH(E$6,$L$5:$L$11,0))*IF($E$2="Depth (mm)",(1),IF($E$2="Intensity (mm/hr)",12,0))</f>
        <v>0.75627321395166103</v>
      </c>
      <c r="F187" s="24">
        <f>INDEX('IDF Distributions'!$A$1:$AB$290,MATCH('Bulk Tool'!$A187,'IDF Distributions'!$A$1:$A$290,0),MATCH('Bulk Tool'!F$5,'IDF Distributions'!$A$1:$AB$1,0))*INDEX($N$5:$N$11,MATCH(F$6,$L$5:$L$11,0))*IF($E$2="Depth (mm)",(1),IF($E$2="Intensity (mm/hr)",12,0))</f>
        <v>0.85888237996870775</v>
      </c>
      <c r="G187" s="24">
        <f>INDEX('IDF Distributions'!$A$1:$AB$290,MATCH('Bulk Tool'!$A187,'IDF Distributions'!$A$1:$A$290,0),MATCH('Bulk Tool'!G$5,'IDF Distributions'!$A$1:$AB$1,0))*INDEX($N$5:$N$11,MATCH(G$6,$L$5:$L$11,0))*IF($E$2="Depth (mm)",(1),IF($E$2="Intensity (mm/hr)",12,0))</f>
        <v>0.96737647736026833</v>
      </c>
      <c r="H187" s="24">
        <f>INDEX('IDF Distributions'!$A$1:$AB$290,MATCH('Bulk Tool'!$A187,'IDF Distributions'!$A$1:$A$290,0),MATCH('Bulk Tool'!H$5,'IDF Distributions'!$A$1:$AB$1,0))*INDEX($N$5:$N$11,MATCH(H$6,$L$5:$L$11,0))*IF($E$2="Depth (mm)",(1),IF($E$2="Intensity (mm/hr)",12,0))</f>
        <v>1.0834039261433188</v>
      </c>
      <c r="I187" s="12" t="str">
        <f>IF(COUNTIF($H$7:H187,$H$7)&gt;1,"Do Not Copy","Copy")</f>
        <v>Copy</v>
      </c>
      <c r="L187"/>
      <c r="M187" s="2"/>
    </row>
    <row r="188" spans="1:13" x14ac:dyDescent="0.25">
      <c r="A188" s="128">
        <f t="shared" si="5"/>
        <v>0.62847222222222054</v>
      </c>
      <c r="B188" s="24">
        <f>INDEX('IDF Distributions'!$A$1:$AB$290,MATCH('Bulk Tool'!$A188,'IDF Distributions'!$A$1:$A$290,0),MATCH('Bulk Tool'!B$5,'IDF Distributions'!$A$1:$AB$1,0))*INDEX($N$5:$N$11,MATCH(B$6,$L$5:$L$11,0))*IF($E$2="Depth (mm)",(1),IF($E$2="Intensity (mm/hr)",12,0))</f>
        <v>0.40874792154433215</v>
      </c>
      <c r="C188" s="24">
        <f>INDEX('IDF Distributions'!$A$1:$AB$290,MATCH('Bulk Tool'!$A188,'IDF Distributions'!$A$1:$A$290,0),MATCH('Bulk Tool'!C$5,'IDF Distributions'!$A$1:$AB$1,0))*INDEX($N$5:$N$11,MATCH(C$6,$L$5:$L$11,0))*IF($E$2="Depth (mm)",(1),IF($E$2="Intensity (mm/hr)",12,0))</f>
        <v>0.54505084958028538</v>
      </c>
      <c r="D188" s="24">
        <f>INDEX('IDF Distributions'!$A$1:$AB$290,MATCH('Bulk Tool'!$A188,'IDF Distributions'!$A$1:$A$290,0),MATCH('Bulk Tool'!D$5,'IDF Distributions'!$A$1:$AB$1,0))*INDEX($N$5:$N$11,MATCH(D$6,$L$5:$L$11,0))*IF($E$2="Depth (mm)",(1),IF($E$2="Intensity (mm/hr)",12,0))</f>
        <v>0.64182861633442434</v>
      </c>
      <c r="E188" s="24">
        <f>INDEX('IDF Distributions'!$A$1:$AB$290,MATCH('Bulk Tool'!$A188,'IDF Distributions'!$A$1:$A$290,0),MATCH('Bulk Tool'!E$5,'IDF Distributions'!$A$1:$AB$1,0))*INDEX($N$5:$N$11,MATCH(E$6,$L$5:$L$11,0))*IF($E$2="Depth (mm)",(1),IF($E$2="Intensity (mm/hr)",12,0))</f>
        <v>0.77506261057160786</v>
      </c>
      <c r="F188" s="24">
        <f>INDEX('IDF Distributions'!$A$1:$AB$290,MATCH('Bulk Tool'!$A188,'IDF Distributions'!$A$1:$A$290,0),MATCH('Bulk Tool'!F$5,'IDF Distributions'!$A$1:$AB$1,0))*INDEX($N$5:$N$11,MATCH(F$6,$L$5:$L$11,0))*IF($E$2="Depth (mm)",(1),IF($E$2="Intensity (mm/hr)",12,0))</f>
        <v>0.88022107263877158</v>
      </c>
      <c r="G188" s="24">
        <f>INDEX('IDF Distributions'!$A$1:$AB$290,MATCH('Bulk Tool'!$A188,'IDF Distributions'!$A$1:$A$290,0),MATCH('Bulk Tool'!G$5,'IDF Distributions'!$A$1:$AB$1,0))*INDEX($N$5:$N$11,MATCH(G$6,$L$5:$L$11,0))*IF($E$2="Depth (mm)",(1),IF($E$2="Intensity (mm/hr)",12,0))</f>
        <v>0.99141067555559259</v>
      </c>
      <c r="H188" s="24">
        <f>INDEX('IDF Distributions'!$A$1:$AB$290,MATCH('Bulk Tool'!$A188,'IDF Distributions'!$A$1:$A$290,0),MATCH('Bulk Tool'!H$5,'IDF Distributions'!$A$1:$AB$1,0))*INDEX($N$5:$N$11,MATCH(H$6,$L$5:$L$11,0))*IF($E$2="Depth (mm)",(1),IF($E$2="Intensity (mm/hr)",12,0))</f>
        <v>1.1103207938736301</v>
      </c>
      <c r="I188" s="12" t="str">
        <f>IF(COUNTIF($H$7:H188,$H$7)&gt;1,"Do Not Copy","Copy")</f>
        <v>Copy</v>
      </c>
      <c r="L188"/>
      <c r="M188" s="2"/>
    </row>
    <row r="189" spans="1:13" x14ac:dyDescent="0.25">
      <c r="A189" s="128">
        <f t="shared" si="5"/>
        <v>0.63194444444444275</v>
      </c>
      <c r="B189" s="24">
        <f>INDEX('IDF Distributions'!$A$1:$AB$290,MATCH('Bulk Tool'!$A189,'IDF Distributions'!$A$1:$A$290,0),MATCH('Bulk Tool'!B$5,'IDF Distributions'!$A$1:$AB$1,0))*INDEX($N$5:$N$11,MATCH(B$6,$L$5:$L$11,0))*IF($E$2="Depth (mm)",(1),IF($E$2="Intensity (mm/hr)",12,0))</f>
        <v>0.3963616208914586</v>
      </c>
      <c r="C189" s="24">
        <f>INDEX('IDF Distributions'!$A$1:$AB$290,MATCH('Bulk Tool'!$A189,'IDF Distributions'!$A$1:$A$290,0),MATCH('Bulk Tool'!C$5,'IDF Distributions'!$A$1:$AB$1,0))*INDEX($N$5:$N$11,MATCH(C$6,$L$5:$L$11,0))*IF($E$2="Depth (mm)",(1),IF($E$2="Intensity (mm/hr)",12,0))</f>
        <v>0.52853415716874164</v>
      </c>
      <c r="D189" s="24">
        <f>INDEX('IDF Distributions'!$A$1:$AB$290,MATCH('Bulk Tool'!$A189,'IDF Distributions'!$A$1:$A$290,0),MATCH('Bulk Tool'!D$5,'IDF Distributions'!$A$1:$AB$1,0))*INDEX($N$5:$N$11,MATCH(D$6,$L$5:$L$11,0))*IF($E$2="Depth (mm)",(1),IF($E$2="Intensity (mm/hr)",12,0))</f>
        <v>0.62237926432426671</v>
      </c>
      <c r="E189" s="24">
        <f>INDEX('IDF Distributions'!$A$1:$AB$290,MATCH('Bulk Tool'!$A189,'IDF Distributions'!$A$1:$A$290,0),MATCH('Bulk Tool'!E$5,'IDF Distributions'!$A$1:$AB$1,0))*INDEX($N$5:$N$11,MATCH(E$6,$L$5:$L$11,0))*IF($E$2="Depth (mm)",(1),IF($E$2="Intensity (mm/hr)",12,0))</f>
        <v>0.75157586479668226</v>
      </c>
      <c r="F189" s="24">
        <f>INDEX('IDF Distributions'!$A$1:$AB$290,MATCH('Bulk Tool'!$A189,'IDF Distributions'!$A$1:$A$290,0),MATCH('Bulk Tool'!F$5,'IDF Distributions'!$A$1:$AB$1,0))*INDEX($N$5:$N$11,MATCH(F$6,$L$5:$L$11,0))*IF($E$2="Depth (mm)",(1),IF($E$2="Intensity (mm/hr)",12,0))</f>
        <v>0.85354770680120073</v>
      </c>
      <c r="G189" s="24">
        <f>INDEX('IDF Distributions'!$A$1:$AB$290,MATCH('Bulk Tool'!$A189,'IDF Distributions'!$A$1:$A$290,0),MATCH('Bulk Tool'!G$5,'IDF Distributions'!$A$1:$AB$1,0))*INDEX($N$5:$N$11,MATCH(G$6,$L$5:$L$11,0))*IF($E$2="Depth (mm)",(1),IF($E$2="Intensity (mm/hr)",12,0))</f>
        <v>0.96136792781144731</v>
      </c>
      <c r="H189" s="24">
        <f>INDEX('IDF Distributions'!$A$1:$AB$290,MATCH('Bulk Tool'!$A189,'IDF Distributions'!$A$1:$A$290,0),MATCH('Bulk Tool'!H$5,'IDF Distributions'!$A$1:$AB$1,0))*INDEX($N$5:$N$11,MATCH(H$6,$L$5:$L$11,0))*IF($E$2="Depth (mm)",(1),IF($E$2="Intensity (mm/hr)",12,0))</f>
        <v>1.0766747092107523</v>
      </c>
      <c r="I189" s="12" t="str">
        <f>IF(COUNTIF($H$7:H189,$H$7)&gt;1,"Do Not Copy","Copy")</f>
        <v>Copy</v>
      </c>
      <c r="L189"/>
      <c r="M189" s="2"/>
    </row>
    <row r="190" spans="1:13" x14ac:dyDescent="0.25">
      <c r="A190" s="128">
        <f t="shared" si="5"/>
        <v>0.63541666666666496</v>
      </c>
      <c r="B190" s="24">
        <f>INDEX('IDF Distributions'!$A$1:$AB$290,MATCH('Bulk Tool'!$A190,'IDF Distributions'!$A$1:$A$290,0),MATCH('Bulk Tool'!B$5,'IDF Distributions'!$A$1:$AB$1,0))*INDEX($N$5:$N$11,MATCH(B$6,$L$5:$L$11,0))*IF($E$2="Depth (mm)",(1),IF($E$2="Intensity (mm/hr)",12,0))</f>
        <v>0.39636162089149157</v>
      </c>
      <c r="C190" s="24">
        <f>INDEX('IDF Distributions'!$A$1:$AB$290,MATCH('Bulk Tool'!$A190,'IDF Distributions'!$A$1:$A$290,0),MATCH('Bulk Tool'!C$5,'IDF Distributions'!$A$1:$AB$1,0))*INDEX($N$5:$N$11,MATCH(C$6,$L$5:$L$11,0))*IF($E$2="Depth (mm)",(1),IF($E$2="Intensity (mm/hr)",12,0))</f>
        <v>0.5285341571687856</v>
      </c>
      <c r="D190" s="24">
        <f>INDEX('IDF Distributions'!$A$1:$AB$290,MATCH('Bulk Tool'!$A190,'IDF Distributions'!$A$1:$A$290,0),MATCH('Bulk Tool'!D$5,'IDF Distributions'!$A$1:$AB$1,0))*INDEX($N$5:$N$11,MATCH(D$6,$L$5:$L$11,0))*IF($E$2="Depth (mm)",(1),IF($E$2="Intensity (mm/hr)",12,0))</f>
        <v>0.62237926432431856</v>
      </c>
      <c r="E190" s="24">
        <f>INDEX('IDF Distributions'!$A$1:$AB$290,MATCH('Bulk Tool'!$A190,'IDF Distributions'!$A$1:$A$290,0),MATCH('Bulk Tool'!E$5,'IDF Distributions'!$A$1:$AB$1,0))*INDEX($N$5:$N$11,MATCH(E$6,$L$5:$L$11,0))*IF($E$2="Depth (mm)",(1),IF($E$2="Intensity (mm/hr)",12,0))</f>
        <v>0.75157586479674476</v>
      </c>
      <c r="F190" s="24">
        <f>INDEX('IDF Distributions'!$A$1:$AB$290,MATCH('Bulk Tool'!$A190,'IDF Distributions'!$A$1:$A$290,0),MATCH('Bulk Tool'!F$5,'IDF Distributions'!$A$1:$AB$1,0))*INDEX($N$5:$N$11,MATCH(F$6,$L$5:$L$11,0))*IF($E$2="Depth (mm)",(1),IF($E$2="Intensity (mm/hr)",12,0))</f>
        <v>0.85354770680127179</v>
      </c>
      <c r="G190" s="24">
        <f>INDEX('IDF Distributions'!$A$1:$AB$290,MATCH('Bulk Tool'!$A190,'IDF Distributions'!$A$1:$A$290,0),MATCH('Bulk Tool'!G$5,'IDF Distributions'!$A$1:$AB$1,0))*INDEX($N$5:$N$11,MATCH(G$6,$L$5:$L$11,0))*IF($E$2="Depth (mm)",(1),IF($E$2="Intensity (mm/hr)",12,0))</f>
        <v>0.96136792781152736</v>
      </c>
      <c r="H190" s="24">
        <f>INDEX('IDF Distributions'!$A$1:$AB$290,MATCH('Bulk Tool'!$A190,'IDF Distributions'!$A$1:$A$290,0),MATCH('Bulk Tool'!H$5,'IDF Distributions'!$A$1:$AB$1,0))*INDEX($N$5:$N$11,MATCH(H$6,$L$5:$L$11,0))*IF($E$2="Depth (mm)",(1),IF($E$2="Intensity (mm/hr)",12,0))</f>
        <v>1.076674709210842</v>
      </c>
      <c r="I190" s="12" t="str">
        <f>IF(COUNTIF($H$7:H190,$H$7)&gt;1,"Do Not Copy","Copy")</f>
        <v>Copy</v>
      </c>
      <c r="L190"/>
      <c r="M190" s="2"/>
    </row>
    <row r="191" spans="1:13" x14ac:dyDescent="0.25">
      <c r="A191" s="128">
        <f t="shared" si="5"/>
        <v>0.63888888888888717</v>
      </c>
      <c r="B191" s="24">
        <f>INDEX('IDF Distributions'!$A$1:$AB$290,MATCH('Bulk Tool'!$A191,'IDF Distributions'!$A$1:$A$290,0),MATCH('Bulk Tool'!B$5,'IDF Distributions'!$A$1:$AB$1,0))*INDEX($N$5:$N$11,MATCH(B$6,$L$5:$L$11,0))*IF($E$2="Depth (mm)",(1),IF($E$2="Intensity (mm/hr)",12,0))</f>
        <v>0.3963616208914586</v>
      </c>
      <c r="C191" s="24">
        <f>INDEX('IDF Distributions'!$A$1:$AB$290,MATCH('Bulk Tool'!$A191,'IDF Distributions'!$A$1:$A$290,0),MATCH('Bulk Tool'!C$5,'IDF Distributions'!$A$1:$AB$1,0))*INDEX($N$5:$N$11,MATCH(C$6,$L$5:$L$11,0))*IF($E$2="Depth (mm)",(1),IF($E$2="Intensity (mm/hr)",12,0))</f>
        <v>0.52853415716874164</v>
      </c>
      <c r="D191" s="24">
        <f>INDEX('IDF Distributions'!$A$1:$AB$290,MATCH('Bulk Tool'!$A191,'IDF Distributions'!$A$1:$A$290,0),MATCH('Bulk Tool'!D$5,'IDF Distributions'!$A$1:$AB$1,0))*INDEX($N$5:$N$11,MATCH(D$6,$L$5:$L$11,0))*IF($E$2="Depth (mm)",(1),IF($E$2="Intensity (mm/hr)",12,0))</f>
        <v>0.62237926432426671</v>
      </c>
      <c r="E191" s="24">
        <f>INDEX('IDF Distributions'!$A$1:$AB$290,MATCH('Bulk Tool'!$A191,'IDF Distributions'!$A$1:$A$290,0),MATCH('Bulk Tool'!E$5,'IDF Distributions'!$A$1:$AB$1,0))*INDEX($N$5:$N$11,MATCH(E$6,$L$5:$L$11,0))*IF($E$2="Depth (mm)",(1),IF($E$2="Intensity (mm/hr)",12,0))</f>
        <v>0.75157586479668226</v>
      </c>
      <c r="F191" s="24">
        <f>INDEX('IDF Distributions'!$A$1:$AB$290,MATCH('Bulk Tool'!$A191,'IDF Distributions'!$A$1:$A$290,0),MATCH('Bulk Tool'!F$5,'IDF Distributions'!$A$1:$AB$1,0))*INDEX($N$5:$N$11,MATCH(F$6,$L$5:$L$11,0))*IF($E$2="Depth (mm)",(1),IF($E$2="Intensity (mm/hr)",12,0))</f>
        <v>0.85354770680120073</v>
      </c>
      <c r="G191" s="24">
        <f>INDEX('IDF Distributions'!$A$1:$AB$290,MATCH('Bulk Tool'!$A191,'IDF Distributions'!$A$1:$A$290,0),MATCH('Bulk Tool'!G$5,'IDF Distributions'!$A$1:$AB$1,0))*INDEX($N$5:$N$11,MATCH(G$6,$L$5:$L$11,0))*IF($E$2="Depth (mm)",(1),IF($E$2="Intensity (mm/hr)",12,0))</f>
        <v>0.96136792781144731</v>
      </c>
      <c r="H191" s="24">
        <f>INDEX('IDF Distributions'!$A$1:$AB$290,MATCH('Bulk Tool'!$A191,'IDF Distributions'!$A$1:$A$290,0),MATCH('Bulk Tool'!H$5,'IDF Distributions'!$A$1:$AB$1,0))*INDEX($N$5:$N$11,MATCH(H$6,$L$5:$L$11,0))*IF($E$2="Depth (mm)",(1),IF($E$2="Intensity (mm/hr)",12,0))</f>
        <v>1.0766747092107523</v>
      </c>
      <c r="I191" s="12" t="str">
        <f>IF(COUNTIF($H$7:H191,$H$7)&gt;1,"Do Not Copy","Copy")</f>
        <v>Copy</v>
      </c>
      <c r="L191"/>
      <c r="M191" s="2"/>
    </row>
    <row r="192" spans="1:13" x14ac:dyDescent="0.25">
      <c r="A192" s="128">
        <f t="shared" si="5"/>
        <v>0.64236111111110938</v>
      </c>
      <c r="B192" s="24">
        <f>INDEX('IDF Distributions'!$A$1:$AB$290,MATCH('Bulk Tool'!$A192,'IDF Distributions'!$A$1:$A$290,0),MATCH('Bulk Tool'!B$5,'IDF Distributions'!$A$1:$AB$1,0))*INDEX($N$5:$N$11,MATCH(B$6,$L$5:$L$11,0))*IF($E$2="Depth (mm)",(1),IF($E$2="Intensity (mm/hr)",12,0))</f>
        <v>0.39636162089147509</v>
      </c>
      <c r="C192" s="24">
        <f>INDEX('IDF Distributions'!$A$1:$AB$290,MATCH('Bulk Tool'!$A192,'IDF Distributions'!$A$1:$A$290,0),MATCH('Bulk Tool'!C$5,'IDF Distributions'!$A$1:$AB$1,0))*INDEX($N$5:$N$11,MATCH(C$6,$L$5:$L$11,0))*IF($E$2="Depth (mm)",(1),IF($E$2="Intensity (mm/hr)",12,0))</f>
        <v>0.52853415716876362</v>
      </c>
      <c r="D192" s="24">
        <f>INDEX('IDF Distributions'!$A$1:$AB$290,MATCH('Bulk Tool'!$A192,'IDF Distributions'!$A$1:$A$290,0),MATCH('Bulk Tool'!D$5,'IDF Distributions'!$A$1:$AB$1,0))*INDEX($N$5:$N$11,MATCH(D$6,$L$5:$L$11,0))*IF($E$2="Depth (mm)",(1),IF($E$2="Intensity (mm/hr)",12,0))</f>
        <v>0.62237926432429269</v>
      </c>
      <c r="E192" s="24">
        <f>INDEX('IDF Distributions'!$A$1:$AB$290,MATCH('Bulk Tool'!$A192,'IDF Distributions'!$A$1:$A$290,0),MATCH('Bulk Tool'!E$5,'IDF Distributions'!$A$1:$AB$1,0))*INDEX($N$5:$N$11,MATCH(E$6,$L$5:$L$11,0))*IF($E$2="Depth (mm)",(1),IF($E$2="Intensity (mm/hr)",12,0))</f>
        <v>0.75157586479671346</v>
      </c>
      <c r="F192" s="24">
        <f>INDEX('IDF Distributions'!$A$1:$AB$290,MATCH('Bulk Tool'!$A192,'IDF Distributions'!$A$1:$A$290,0),MATCH('Bulk Tool'!F$5,'IDF Distributions'!$A$1:$AB$1,0))*INDEX($N$5:$N$11,MATCH(F$6,$L$5:$L$11,0))*IF($E$2="Depth (mm)",(1),IF($E$2="Intensity (mm/hr)",12,0))</f>
        <v>0.85354770680123637</v>
      </c>
      <c r="G192" s="24">
        <f>INDEX('IDF Distributions'!$A$1:$AB$290,MATCH('Bulk Tool'!$A192,'IDF Distributions'!$A$1:$A$290,0),MATCH('Bulk Tool'!G$5,'IDF Distributions'!$A$1:$AB$1,0))*INDEX($N$5:$N$11,MATCH(G$6,$L$5:$L$11,0))*IF($E$2="Depth (mm)",(1),IF($E$2="Intensity (mm/hr)",12,0))</f>
        <v>0.96136792781148739</v>
      </c>
      <c r="H192" s="24">
        <f>INDEX('IDF Distributions'!$A$1:$AB$290,MATCH('Bulk Tool'!$A192,'IDF Distributions'!$A$1:$A$290,0),MATCH('Bulk Tool'!H$5,'IDF Distributions'!$A$1:$AB$1,0))*INDEX($N$5:$N$11,MATCH(H$6,$L$5:$L$11,0))*IF($E$2="Depth (mm)",(1),IF($E$2="Intensity (mm/hr)",12,0))</f>
        <v>1.0766747092107971</v>
      </c>
      <c r="I192" s="12" t="str">
        <f>IF(COUNTIF($H$7:H192,$H$7)&gt;1,"Do Not Copy","Copy")</f>
        <v>Copy</v>
      </c>
      <c r="L192"/>
      <c r="M192" s="2"/>
    </row>
    <row r="193" spans="1:13" x14ac:dyDescent="0.25">
      <c r="A193" s="128">
        <f t="shared" si="5"/>
        <v>0.64583333333333159</v>
      </c>
      <c r="B193" s="24">
        <f>INDEX('IDF Distributions'!$A$1:$AB$290,MATCH('Bulk Tool'!$A193,'IDF Distributions'!$A$1:$A$290,0),MATCH('Bulk Tool'!B$5,'IDF Distributions'!$A$1:$AB$1,0))*INDEX($N$5:$N$11,MATCH(B$6,$L$5:$L$11,0))*IF($E$2="Depth (mm)",(1),IF($E$2="Intensity (mm/hr)",12,0))</f>
        <v>0.39636162089147509</v>
      </c>
      <c r="C193" s="24">
        <f>INDEX('IDF Distributions'!$A$1:$AB$290,MATCH('Bulk Tool'!$A193,'IDF Distributions'!$A$1:$A$290,0),MATCH('Bulk Tool'!C$5,'IDF Distributions'!$A$1:$AB$1,0))*INDEX($N$5:$N$11,MATCH(C$6,$L$5:$L$11,0))*IF($E$2="Depth (mm)",(1),IF($E$2="Intensity (mm/hr)",12,0))</f>
        <v>0.52853415716876362</v>
      </c>
      <c r="D193" s="24">
        <f>INDEX('IDF Distributions'!$A$1:$AB$290,MATCH('Bulk Tool'!$A193,'IDF Distributions'!$A$1:$A$290,0),MATCH('Bulk Tool'!D$5,'IDF Distributions'!$A$1:$AB$1,0))*INDEX($N$5:$N$11,MATCH(D$6,$L$5:$L$11,0))*IF($E$2="Depth (mm)",(1),IF($E$2="Intensity (mm/hr)",12,0))</f>
        <v>0.62237926432429269</v>
      </c>
      <c r="E193" s="24">
        <f>INDEX('IDF Distributions'!$A$1:$AB$290,MATCH('Bulk Tool'!$A193,'IDF Distributions'!$A$1:$A$290,0),MATCH('Bulk Tool'!E$5,'IDF Distributions'!$A$1:$AB$1,0))*INDEX($N$5:$N$11,MATCH(E$6,$L$5:$L$11,0))*IF($E$2="Depth (mm)",(1),IF($E$2="Intensity (mm/hr)",12,0))</f>
        <v>0.75157586479671346</v>
      </c>
      <c r="F193" s="24">
        <f>INDEX('IDF Distributions'!$A$1:$AB$290,MATCH('Bulk Tool'!$A193,'IDF Distributions'!$A$1:$A$290,0),MATCH('Bulk Tool'!F$5,'IDF Distributions'!$A$1:$AB$1,0))*INDEX($N$5:$N$11,MATCH(F$6,$L$5:$L$11,0))*IF($E$2="Depth (mm)",(1),IF($E$2="Intensity (mm/hr)",12,0))</f>
        <v>0.85354770680123637</v>
      </c>
      <c r="G193" s="24">
        <f>INDEX('IDF Distributions'!$A$1:$AB$290,MATCH('Bulk Tool'!$A193,'IDF Distributions'!$A$1:$A$290,0),MATCH('Bulk Tool'!G$5,'IDF Distributions'!$A$1:$AB$1,0))*INDEX($N$5:$N$11,MATCH(G$6,$L$5:$L$11,0))*IF($E$2="Depth (mm)",(1),IF($E$2="Intensity (mm/hr)",12,0))</f>
        <v>0.96136792781148739</v>
      </c>
      <c r="H193" s="24">
        <f>INDEX('IDF Distributions'!$A$1:$AB$290,MATCH('Bulk Tool'!$A193,'IDF Distributions'!$A$1:$A$290,0),MATCH('Bulk Tool'!H$5,'IDF Distributions'!$A$1:$AB$1,0))*INDEX($N$5:$N$11,MATCH(H$6,$L$5:$L$11,0))*IF($E$2="Depth (mm)",(1),IF($E$2="Intensity (mm/hr)",12,0))</f>
        <v>1.0766747092107971</v>
      </c>
      <c r="I193" s="12" t="str">
        <f>IF(COUNTIF($H$7:H193,$H$7)&gt;1,"Do Not Copy","Copy")</f>
        <v>Copy</v>
      </c>
      <c r="L193"/>
      <c r="M193" s="2"/>
    </row>
    <row r="194" spans="1:13" x14ac:dyDescent="0.25">
      <c r="A194" s="128">
        <f t="shared" si="5"/>
        <v>0.6493055555555538</v>
      </c>
      <c r="B194" s="24">
        <f>INDEX('IDF Distributions'!$A$1:$AB$290,MATCH('Bulk Tool'!$A194,'IDF Distributions'!$A$1:$A$290,0),MATCH('Bulk Tool'!B$5,'IDF Distributions'!$A$1:$AB$1,0))*INDEX($N$5:$N$11,MATCH(B$6,$L$5:$L$11,0))*IF($E$2="Depth (mm)",(1),IF($E$2="Intensity (mm/hr)",12,0))</f>
        <v>0.3963616208914586</v>
      </c>
      <c r="C194" s="24">
        <f>INDEX('IDF Distributions'!$A$1:$AB$290,MATCH('Bulk Tool'!$A194,'IDF Distributions'!$A$1:$A$290,0),MATCH('Bulk Tool'!C$5,'IDF Distributions'!$A$1:$AB$1,0))*INDEX($N$5:$N$11,MATCH(C$6,$L$5:$L$11,0))*IF($E$2="Depth (mm)",(1),IF($E$2="Intensity (mm/hr)",12,0))</f>
        <v>0.52853415716874164</v>
      </c>
      <c r="D194" s="24">
        <f>INDEX('IDF Distributions'!$A$1:$AB$290,MATCH('Bulk Tool'!$A194,'IDF Distributions'!$A$1:$A$290,0),MATCH('Bulk Tool'!D$5,'IDF Distributions'!$A$1:$AB$1,0))*INDEX($N$5:$N$11,MATCH(D$6,$L$5:$L$11,0))*IF($E$2="Depth (mm)",(1),IF($E$2="Intensity (mm/hr)",12,0))</f>
        <v>0.62237926432426671</v>
      </c>
      <c r="E194" s="24">
        <f>INDEX('IDF Distributions'!$A$1:$AB$290,MATCH('Bulk Tool'!$A194,'IDF Distributions'!$A$1:$A$290,0),MATCH('Bulk Tool'!E$5,'IDF Distributions'!$A$1:$AB$1,0))*INDEX($N$5:$N$11,MATCH(E$6,$L$5:$L$11,0))*IF($E$2="Depth (mm)",(1),IF($E$2="Intensity (mm/hr)",12,0))</f>
        <v>0.75157586479668226</v>
      </c>
      <c r="F194" s="24">
        <f>INDEX('IDF Distributions'!$A$1:$AB$290,MATCH('Bulk Tool'!$A194,'IDF Distributions'!$A$1:$A$290,0),MATCH('Bulk Tool'!F$5,'IDF Distributions'!$A$1:$AB$1,0))*INDEX($N$5:$N$11,MATCH(F$6,$L$5:$L$11,0))*IF($E$2="Depth (mm)",(1),IF($E$2="Intensity (mm/hr)",12,0))</f>
        <v>0.85354770680120073</v>
      </c>
      <c r="G194" s="24">
        <f>INDEX('IDF Distributions'!$A$1:$AB$290,MATCH('Bulk Tool'!$A194,'IDF Distributions'!$A$1:$A$290,0),MATCH('Bulk Tool'!G$5,'IDF Distributions'!$A$1:$AB$1,0))*INDEX($N$5:$N$11,MATCH(G$6,$L$5:$L$11,0))*IF($E$2="Depth (mm)",(1),IF($E$2="Intensity (mm/hr)",12,0))</f>
        <v>0.96136792781144731</v>
      </c>
      <c r="H194" s="24">
        <f>INDEX('IDF Distributions'!$A$1:$AB$290,MATCH('Bulk Tool'!$A194,'IDF Distributions'!$A$1:$A$290,0),MATCH('Bulk Tool'!H$5,'IDF Distributions'!$A$1:$AB$1,0))*INDEX($N$5:$N$11,MATCH(H$6,$L$5:$L$11,0))*IF($E$2="Depth (mm)",(1),IF($E$2="Intensity (mm/hr)",12,0))</f>
        <v>1.0766747092107523</v>
      </c>
      <c r="I194" s="12" t="str">
        <f>IF(COUNTIF($H$7:H194,$H$7)&gt;1,"Do Not Copy","Copy")</f>
        <v>Copy</v>
      </c>
      <c r="L194"/>
      <c r="M194" s="2"/>
    </row>
    <row r="195" spans="1:13" x14ac:dyDescent="0.25">
      <c r="A195" s="128">
        <f t="shared" si="5"/>
        <v>0.65277777777777601</v>
      </c>
      <c r="B195" s="24">
        <f>INDEX('IDF Distributions'!$A$1:$AB$290,MATCH('Bulk Tool'!$A195,'IDF Distributions'!$A$1:$A$290,0),MATCH('Bulk Tool'!B$5,'IDF Distributions'!$A$1:$AB$1,0))*INDEX($N$5:$N$11,MATCH(B$6,$L$5:$L$11,0))*IF($E$2="Depth (mm)",(1),IF($E$2="Intensity (mm/hr)",12,0))</f>
        <v>0.38397532023861802</v>
      </c>
      <c r="C195" s="24">
        <f>INDEX('IDF Distributions'!$A$1:$AB$290,MATCH('Bulk Tool'!$A195,'IDF Distributions'!$A$1:$A$290,0),MATCH('Bulk Tool'!C$5,'IDF Distributions'!$A$1:$AB$1,0))*INDEX($N$5:$N$11,MATCH(C$6,$L$5:$L$11,0))*IF($E$2="Depth (mm)",(1),IF($E$2="Intensity (mm/hr)",12,0))</f>
        <v>0.51201746475724175</v>
      </c>
      <c r="D195" s="24">
        <f>INDEX('IDF Distributions'!$A$1:$AB$290,MATCH('Bulk Tool'!$A195,'IDF Distributions'!$A$1:$A$290,0),MATCH('Bulk Tool'!D$5,'IDF Distributions'!$A$1:$AB$1,0))*INDEX($N$5:$N$11,MATCH(D$6,$L$5:$L$11,0))*IF($E$2="Depth (mm)",(1),IF($E$2="Intensity (mm/hr)",12,0))</f>
        <v>0.60292991231416093</v>
      </c>
      <c r="E195" s="24">
        <f>INDEX('IDF Distributions'!$A$1:$AB$290,MATCH('Bulk Tool'!$A195,'IDF Distributions'!$A$1:$A$290,0),MATCH('Bulk Tool'!E$5,'IDF Distributions'!$A$1:$AB$1,0))*INDEX($N$5:$N$11,MATCH(E$6,$L$5:$L$11,0))*IF($E$2="Depth (mm)",(1),IF($E$2="Intensity (mm/hr)",12,0))</f>
        <v>0.72808911902181905</v>
      </c>
      <c r="F195" s="24">
        <f>INDEX('IDF Distributions'!$A$1:$AB$290,MATCH('Bulk Tool'!$A195,'IDF Distributions'!$A$1:$A$290,0),MATCH('Bulk Tool'!F$5,'IDF Distributions'!$A$1:$AB$1,0))*INDEX($N$5:$N$11,MATCH(F$6,$L$5:$L$11,0))*IF($E$2="Depth (mm)",(1),IF($E$2="Intensity (mm/hr)",12,0))</f>
        <v>0.82687434096370094</v>
      </c>
      <c r="G195" s="24">
        <f>INDEX('IDF Distributions'!$A$1:$AB$290,MATCH('Bulk Tool'!$A195,'IDF Distributions'!$A$1:$A$290,0),MATCH('Bulk Tool'!G$5,'IDF Distributions'!$A$1:$AB$1,0))*INDEX($N$5:$N$11,MATCH(G$6,$L$5:$L$11,0))*IF($E$2="Depth (mm)",(1),IF($E$2="Intensity (mm/hr)",12,0))</f>
        <v>0.93132518006738207</v>
      </c>
      <c r="H195" s="24">
        <f>INDEX('IDF Distributions'!$A$1:$AB$290,MATCH('Bulk Tool'!$A195,'IDF Distributions'!$A$1:$A$290,0),MATCH('Bulk Tool'!H$5,'IDF Distributions'!$A$1:$AB$1,0))*INDEX($N$5:$N$11,MATCH(H$6,$L$5:$L$11,0))*IF($E$2="Depth (mm)",(1),IF($E$2="Intensity (mm/hr)",12,0))</f>
        <v>1.0430286245479641</v>
      </c>
      <c r="I195" s="12" t="str">
        <f>IF(COUNTIF($H$7:H195,$H$7)&gt;1,"Do Not Copy","Copy")</f>
        <v>Copy</v>
      </c>
      <c r="L195"/>
      <c r="M195" s="2"/>
    </row>
    <row r="196" spans="1:13" x14ac:dyDescent="0.25">
      <c r="A196" s="128">
        <f t="shared" si="5"/>
        <v>0.65624999999999822</v>
      </c>
      <c r="B196" s="24">
        <f>INDEX('IDF Distributions'!$A$1:$AB$290,MATCH('Bulk Tool'!$A196,'IDF Distributions'!$A$1:$A$290,0),MATCH('Bulk Tool'!B$5,'IDF Distributions'!$A$1:$AB$1,0))*INDEX($N$5:$N$11,MATCH(B$6,$L$5:$L$11,0))*IF($E$2="Depth (mm)",(1),IF($E$2="Intensity (mm/hr)",12,0))</f>
        <v>0.38397532023860148</v>
      </c>
      <c r="C196" s="24">
        <f>INDEX('IDF Distributions'!$A$1:$AB$290,MATCH('Bulk Tool'!$A196,'IDF Distributions'!$A$1:$A$290,0),MATCH('Bulk Tool'!C$5,'IDF Distributions'!$A$1:$AB$1,0))*INDEX($N$5:$N$11,MATCH(C$6,$L$5:$L$11,0))*IF($E$2="Depth (mm)",(1),IF($E$2="Intensity (mm/hr)",12,0))</f>
        <v>0.51201746475721976</v>
      </c>
      <c r="D196" s="24">
        <f>INDEX('IDF Distributions'!$A$1:$AB$290,MATCH('Bulk Tool'!$A196,'IDF Distributions'!$A$1:$A$290,0),MATCH('Bulk Tool'!D$5,'IDF Distributions'!$A$1:$AB$1,0))*INDEX($N$5:$N$11,MATCH(D$6,$L$5:$L$11,0))*IF($E$2="Depth (mm)",(1),IF($E$2="Intensity (mm/hr)",12,0))</f>
        <v>0.60292991231413495</v>
      </c>
      <c r="E196" s="24">
        <f>INDEX('IDF Distributions'!$A$1:$AB$290,MATCH('Bulk Tool'!$A196,'IDF Distributions'!$A$1:$A$290,0),MATCH('Bulk Tool'!E$5,'IDF Distributions'!$A$1:$AB$1,0))*INDEX($N$5:$N$11,MATCH(E$6,$L$5:$L$11,0))*IF($E$2="Depth (mm)",(1),IF($E$2="Intensity (mm/hr)",12,0))</f>
        <v>0.72808911902178775</v>
      </c>
      <c r="F196" s="24">
        <f>INDEX('IDF Distributions'!$A$1:$AB$290,MATCH('Bulk Tool'!$A196,'IDF Distributions'!$A$1:$A$290,0),MATCH('Bulk Tool'!F$5,'IDF Distributions'!$A$1:$AB$1,0))*INDEX($N$5:$N$11,MATCH(F$6,$L$5:$L$11,0))*IF($E$2="Depth (mm)",(1),IF($E$2="Intensity (mm/hr)",12,0))</f>
        <v>0.82687434096366552</v>
      </c>
      <c r="G196" s="24">
        <f>INDEX('IDF Distributions'!$A$1:$AB$290,MATCH('Bulk Tool'!$A196,'IDF Distributions'!$A$1:$A$290,0),MATCH('Bulk Tool'!G$5,'IDF Distributions'!$A$1:$AB$1,0))*INDEX($N$5:$N$11,MATCH(G$6,$L$5:$L$11,0))*IF($E$2="Depth (mm)",(1),IF($E$2="Intensity (mm/hr)",12,0))</f>
        <v>0.93132518006734211</v>
      </c>
      <c r="H196" s="24">
        <f>INDEX('IDF Distributions'!$A$1:$AB$290,MATCH('Bulk Tool'!$A196,'IDF Distributions'!$A$1:$A$290,0),MATCH('Bulk Tool'!H$5,'IDF Distributions'!$A$1:$AB$1,0))*INDEX($N$5:$N$11,MATCH(H$6,$L$5:$L$11,0))*IF($E$2="Depth (mm)",(1),IF($E$2="Intensity (mm/hr)",12,0))</f>
        <v>1.043028624547919</v>
      </c>
      <c r="I196" s="12" t="str">
        <f>IF(COUNTIF($H$7:H196,$H$7)&gt;1,"Do Not Copy","Copy")</f>
        <v>Copy</v>
      </c>
      <c r="L196"/>
      <c r="M196" s="2"/>
    </row>
    <row r="197" spans="1:13" x14ac:dyDescent="0.25">
      <c r="A197" s="128">
        <f t="shared" si="5"/>
        <v>0.65972222222222043</v>
      </c>
      <c r="B197" s="24">
        <f>INDEX('IDF Distributions'!$A$1:$AB$290,MATCH('Bulk Tool'!$A197,'IDF Distributions'!$A$1:$A$290,0),MATCH('Bulk Tool'!B$5,'IDF Distributions'!$A$1:$AB$1,0))*INDEX($N$5:$N$11,MATCH(B$6,$L$5:$L$11,0))*IF($E$2="Depth (mm)",(1),IF($E$2="Intensity (mm/hr)",12,0))</f>
        <v>0.39140710063033224</v>
      </c>
      <c r="C197" s="24">
        <f>INDEX('IDF Distributions'!$A$1:$AB$290,MATCH('Bulk Tool'!$A197,'IDF Distributions'!$A$1:$A$290,0),MATCH('Bulk Tool'!C$5,'IDF Distributions'!$A$1:$AB$1,0))*INDEX($N$5:$N$11,MATCH(C$6,$L$5:$L$11,0))*IF($E$2="Depth (mm)",(1),IF($E$2="Intensity (mm/hr)",12,0))</f>
        <v>0.52192748020415491</v>
      </c>
      <c r="D197" s="24">
        <f>INDEX('IDF Distributions'!$A$1:$AB$290,MATCH('Bulk Tool'!$A197,'IDF Distributions'!$A$1:$A$290,0),MATCH('Bulk Tool'!D$5,'IDF Distributions'!$A$1:$AB$1,0))*INDEX($N$5:$N$11,MATCH(D$6,$L$5:$L$11,0))*IF($E$2="Depth (mm)",(1),IF($E$2="Intensity (mm/hr)",12,0))</f>
        <v>0.61459952352023994</v>
      </c>
      <c r="E197" s="24">
        <f>INDEX('IDF Distributions'!$A$1:$AB$290,MATCH('Bulk Tool'!$A197,'IDF Distributions'!$A$1:$A$290,0),MATCH('Bulk Tool'!E$5,'IDF Distributions'!$A$1:$AB$1,0))*INDEX($N$5:$N$11,MATCH(E$6,$L$5:$L$11,0))*IF($E$2="Depth (mm)",(1),IF($E$2="Intensity (mm/hr)",12,0))</f>
        <v>0.74218116648675569</v>
      </c>
      <c r="F197" s="24">
        <f>INDEX('IDF Distributions'!$A$1:$AB$290,MATCH('Bulk Tool'!$A197,'IDF Distributions'!$A$1:$A$290,0),MATCH('Bulk Tool'!F$5,'IDF Distributions'!$A$1:$AB$1,0))*INDEX($N$5:$N$11,MATCH(F$6,$L$5:$L$11,0))*IF($E$2="Depth (mm)",(1),IF($E$2="Intensity (mm/hr)",12,0))</f>
        <v>0.84287836046622222</v>
      </c>
      <c r="G197" s="24">
        <f>INDEX('IDF Distributions'!$A$1:$AB$290,MATCH('Bulk Tool'!$A197,'IDF Distributions'!$A$1:$A$290,0),MATCH('Bulk Tool'!G$5,'IDF Distributions'!$A$1:$AB$1,0))*INDEX($N$5:$N$11,MATCH(G$6,$L$5:$L$11,0))*IF($E$2="Depth (mm)",(1),IF($E$2="Intensity (mm/hr)",12,0))</f>
        <v>0.94935082871384524</v>
      </c>
      <c r="H197" s="24">
        <f>INDEX('IDF Distributions'!$A$1:$AB$290,MATCH('Bulk Tool'!$A197,'IDF Distributions'!$A$1:$A$290,0),MATCH('Bulk Tool'!H$5,'IDF Distributions'!$A$1:$AB$1,0))*INDEX($N$5:$N$11,MATCH(H$6,$L$5:$L$11,0))*IF($E$2="Depth (mm)",(1),IF($E$2="Intensity (mm/hr)",12,0))</f>
        <v>1.0632162753456638</v>
      </c>
      <c r="I197" s="12" t="str">
        <f>IF(COUNTIF($H$7:H197,$H$7)&gt;1,"Do Not Copy","Copy")</f>
        <v>Copy</v>
      </c>
      <c r="L197"/>
      <c r="M197" s="2"/>
    </row>
    <row r="198" spans="1:13" x14ac:dyDescent="0.25">
      <c r="A198" s="128">
        <f t="shared" si="5"/>
        <v>0.66319444444444264</v>
      </c>
      <c r="B198" s="24">
        <f>INDEX('IDF Distributions'!$A$1:$AB$290,MATCH('Bulk Tool'!$A198,'IDF Distributions'!$A$1:$A$290,0),MATCH('Bulk Tool'!B$5,'IDF Distributions'!$A$1:$AB$1,0))*INDEX($N$5:$N$11,MATCH(B$6,$L$5:$L$11,0))*IF($E$2="Depth (mm)",(1),IF($E$2="Intensity (mm/hr)",12,0))</f>
        <v>0.39140710063033224</v>
      </c>
      <c r="C198" s="24">
        <f>INDEX('IDF Distributions'!$A$1:$AB$290,MATCH('Bulk Tool'!$A198,'IDF Distributions'!$A$1:$A$290,0),MATCH('Bulk Tool'!C$5,'IDF Distributions'!$A$1:$AB$1,0))*INDEX($N$5:$N$11,MATCH(C$6,$L$5:$L$11,0))*IF($E$2="Depth (mm)",(1),IF($E$2="Intensity (mm/hr)",12,0))</f>
        <v>0.52192748020415491</v>
      </c>
      <c r="D198" s="24">
        <f>INDEX('IDF Distributions'!$A$1:$AB$290,MATCH('Bulk Tool'!$A198,'IDF Distributions'!$A$1:$A$290,0),MATCH('Bulk Tool'!D$5,'IDF Distributions'!$A$1:$AB$1,0))*INDEX($N$5:$N$11,MATCH(D$6,$L$5:$L$11,0))*IF($E$2="Depth (mm)",(1),IF($E$2="Intensity (mm/hr)",12,0))</f>
        <v>0.61459952352023994</v>
      </c>
      <c r="E198" s="24">
        <f>INDEX('IDF Distributions'!$A$1:$AB$290,MATCH('Bulk Tool'!$A198,'IDF Distributions'!$A$1:$A$290,0),MATCH('Bulk Tool'!E$5,'IDF Distributions'!$A$1:$AB$1,0))*INDEX($N$5:$N$11,MATCH(E$6,$L$5:$L$11,0))*IF($E$2="Depth (mm)",(1),IF($E$2="Intensity (mm/hr)",12,0))</f>
        <v>0.74218116648675569</v>
      </c>
      <c r="F198" s="24">
        <f>INDEX('IDF Distributions'!$A$1:$AB$290,MATCH('Bulk Tool'!$A198,'IDF Distributions'!$A$1:$A$290,0),MATCH('Bulk Tool'!F$5,'IDF Distributions'!$A$1:$AB$1,0))*INDEX($N$5:$N$11,MATCH(F$6,$L$5:$L$11,0))*IF($E$2="Depth (mm)",(1),IF($E$2="Intensity (mm/hr)",12,0))</f>
        <v>0.84287836046622222</v>
      </c>
      <c r="G198" s="24">
        <f>INDEX('IDF Distributions'!$A$1:$AB$290,MATCH('Bulk Tool'!$A198,'IDF Distributions'!$A$1:$A$290,0),MATCH('Bulk Tool'!G$5,'IDF Distributions'!$A$1:$AB$1,0))*INDEX($N$5:$N$11,MATCH(G$6,$L$5:$L$11,0))*IF($E$2="Depth (mm)",(1),IF($E$2="Intensity (mm/hr)",12,0))</f>
        <v>0.94935082871384524</v>
      </c>
      <c r="H198" s="24">
        <f>INDEX('IDF Distributions'!$A$1:$AB$290,MATCH('Bulk Tool'!$A198,'IDF Distributions'!$A$1:$A$290,0),MATCH('Bulk Tool'!H$5,'IDF Distributions'!$A$1:$AB$1,0))*INDEX($N$5:$N$11,MATCH(H$6,$L$5:$L$11,0))*IF($E$2="Depth (mm)",(1),IF($E$2="Intensity (mm/hr)",12,0))</f>
        <v>1.0632162753456638</v>
      </c>
      <c r="I198" s="12" t="str">
        <f>IF(COUNTIF($H$7:H198,$H$7)&gt;1,"Do Not Copy","Copy")</f>
        <v>Copy</v>
      </c>
      <c r="L198"/>
      <c r="M198" s="2"/>
    </row>
    <row r="199" spans="1:13" x14ac:dyDescent="0.25">
      <c r="A199" s="128">
        <f t="shared" si="5"/>
        <v>0.66666666666666485</v>
      </c>
      <c r="B199" s="24">
        <f>INDEX('IDF Distributions'!$A$1:$AB$290,MATCH('Bulk Tool'!$A199,'IDF Distributions'!$A$1:$A$290,0),MATCH('Bulk Tool'!B$5,'IDF Distributions'!$A$1:$AB$1,0))*INDEX($N$5:$N$11,MATCH(B$6,$L$5:$L$11,0))*IF($E$2="Depth (mm)",(1),IF($E$2="Intensity (mm/hr)",12,0))</f>
        <v>0.38397532023860148</v>
      </c>
      <c r="C199" s="24">
        <f>INDEX('IDF Distributions'!$A$1:$AB$290,MATCH('Bulk Tool'!$A199,'IDF Distributions'!$A$1:$A$290,0),MATCH('Bulk Tool'!C$5,'IDF Distributions'!$A$1:$AB$1,0))*INDEX($N$5:$N$11,MATCH(C$6,$L$5:$L$11,0))*IF($E$2="Depth (mm)",(1),IF($E$2="Intensity (mm/hr)",12,0))</f>
        <v>0.51201746475721976</v>
      </c>
      <c r="D199" s="24">
        <f>INDEX('IDF Distributions'!$A$1:$AB$290,MATCH('Bulk Tool'!$A199,'IDF Distributions'!$A$1:$A$290,0),MATCH('Bulk Tool'!D$5,'IDF Distributions'!$A$1:$AB$1,0))*INDEX($N$5:$N$11,MATCH(D$6,$L$5:$L$11,0))*IF($E$2="Depth (mm)",(1),IF($E$2="Intensity (mm/hr)",12,0))</f>
        <v>0.60292991231413495</v>
      </c>
      <c r="E199" s="24">
        <f>INDEX('IDF Distributions'!$A$1:$AB$290,MATCH('Bulk Tool'!$A199,'IDF Distributions'!$A$1:$A$290,0),MATCH('Bulk Tool'!E$5,'IDF Distributions'!$A$1:$AB$1,0))*INDEX($N$5:$N$11,MATCH(E$6,$L$5:$L$11,0))*IF($E$2="Depth (mm)",(1),IF($E$2="Intensity (mm/hr)",12,0))</f>
        <v>0.72808911902178775</v>
      </c>
      <c r="F199" s="24">
        <f>INDEX('IDF Distributions'!$A$1:$AB$290,MATCH('Bulk Tool'!$A199,'IDF Distributions'!$A$1:$A$290,0),MATCH('Bulk Tool'!F$5,'IDF Distributions'!$A$1:$AB$1,0))*INDEX($N$5:$N$11,MATCH(F$6,$L$5:$L$11,0))*IF($E$2="Depth (mm)",(1),IF($E$2="Intensity (mm/hr)",12,0))</f>
        <v>0.82687434096366552</v>
      </c>
      <c r="G199" s="24">
        <f>INDEX('IDF Distributions'!$A$1:$AB$290,MATCH('Bulk Tool'!$A199,'IDF Distributions'!$A$1:$A$290,0),MATCH('Bulk Tool'!G$5,'IDF Distributions'!$A$1:$AB$1,0))*INDEX($N$5:$N$11,MATCH(G$6,$L$5:$L$11,0))*IF($E$2="Depth (mm)",(1),IF($E$2="Intensity (mm/hr)",12,0))</f>
        <v>0.93132518006734211</v>
      </c>
      <c r="H199" s="24">
        <f>INDEX('IDF Distributions'!$A$1:$AB$290,MATCH('Bulk Tool'!$A199,'IDF Distributions'!$A$1:$A$290,0),MATCH('Bulk Tool'!H$5,'IDF Distributions'!$A$1:$AB$1,0))*INDEX($N$5:$N$11,MATCH(H$6,$L$5:$L$11,0))*IF($E$2="Depth (mm)",(1),IF($E$2="Intensity (mm/hr)",12,0))</f>
        <v>1.043028624547919</v>
      </c>
      <c r="I199" s="12" t="str">
        <f>IF(COUNTIF($H$7:H199,$H$7)&gt;1,"Do Not Copy","Copy")</f>
        <v>Copy</v>
      </c>
      <c r="L199"/>
      <c r="M199" s="2"/>
    </row>
    <row r="200" spans="1:13" x14ac:dyDescent="0.25">
      <c r="A200" s="128">
        <f t="shared" si="5"/>
        <v>0.67013888888888706</v>
      </c>
      <c r="B200" s="24">
        <f>INDEX('IDF Distributions'!$A$1:$AB$290,MATCH('Bulk Tool'!$A200,'IDF Distributions'!$A$1:$A$290,0),MATCH('Bulk Tool'!B$5,'IDF Distributions'!$A$1:$AB$1,0))*INDEX($N$5:$N$11,MATCH(B$6,$L$5:$L$11,0))*IF($E$2="Depth (mm)",(1),IF($E$2="Intensity (mm/hr)",12,0))</f>
        <v>0.38397532023861802</v>
      </c>
      <c r="C200" s="24">
        <f>INDEX('IDF Distributions'!$A$1:$AB$290,MATCH('Bulk Tool'!$A200,'IDF Distributions'!$A$1:$A$290,0),MATCH('Bulk Tool'!C$5,'IDF Distributions'!$A$1:$AB$1,0))*INDEX($N$5:$N$11,MATCH(C$6,$L$5:$L$11,0))*IF($E$2="Depth (mm)",(1),IF($E$2="Intensity (mm/hr)",12,0))</f>
        <v>0.51201746475724175</v>
      </c>
      <c r="D200" s="24">
        <f>INDEX('IDF Distributions'!$A$1:$AB$290,MATCH('Bulk Tool'!$A200,'IDF Distributions'!$A$1:$A$290,0),MATCH('Bulk Tool'!D$5,'IDF Distributions'!$A$1:$AB$1,0))*INDEX($N$5:$N$11,MATCH(D$6,$L$5:$L$11,0))*IF($E$2="Depth (mm)",(1),IF($E$2="Intensity (mm/hr)",12,0))</f>
        <v>0.60292991231416093</v>
      </c>
      <c r="E200" s="24">
        <f>INDEX('IDF Distributions'!$A$1:$AB$290,MATCH('Bulk Tool'!$A200,'IDF Distributions'!$A$1:$A$290,0),MATCH('Bulk Tool'!E$5,'IDF Distributions'!$A$1:$AB$1,0))*INDEX($N$5:$N$11,MATCH(E$6,$L$5:$L$11,0))*IF($E$2="Depth (mm)",(1),IF($E$2="Intensity (mm/hr)",12,0))</f>
        <v>0.72808911902181905</v>
      </c>
      <c r="F200" s="24">
        <f>INDEX('IDF Distributions'!$A$1:$AB$290,MATCH('Bulk Tool'!$A200,'IDF Distributions'!$A$1:$A$290,0),MATCH('Bulk Tool'!F$5,'IDF Distributions'!$A$1:$AB$1,0))*INDEX($N$5:$N$11,MATCH(F$6,$L$5:$L$11,0))*IF($E$2="Depth (mm)",(1),IF($E$2="Intensity (mm/hr)",12,0))</f>
        <v>0.82687434096370094</v>
      </c>
      <c r="G200" s="24">
        <f>INDEX('IDF Distributions'!$A$1:$AB$290,MATCH('Bulk Tool'!$A200,'IDF Distributions'!$A$1:$A$290,0),MATCH('Bulk Tool'!G$5,'IDF Distributions'!$A$1:$AB$1,0))*INDEX($N$5:$N$11,MATCH(G$6,$L$5:$L$11,0))*IF($E$2="Depth (mm)",(1),IF($E$2="Intensity (mm/hr)",12,0))</f>
        <v>0.93132518006738207</v>
      </c>
      <c r="H200" s="24">
        <f>INDEX('IDF Distributions'!$A$1:$AB$290,MATCH('Bulk Tool'!$A200,'IDF Distributions'!$A$1:$A$290,0),MATCH('Bulk Tool'!H$5,'IDF Distributions'!$A$1:$AB$1,0))*INDEX($N$5:$N$11,MATCH(H$6,$L$5:$L$11,0))*IF($E$2="Depth (mm)",(1),IF($E$2="Intensity (mm/hr)",12,0))</f>
        <v>1.0430286245479641</v>
      </c>
      <c r="I200" s="12" t="str">
        <f>IF(COUNTIF($H$7:H200,$H$7)&gt;1,"Do Not Copy","Copy")</f>
        <v>Copy</v>
      </c>
      <c r="L200"/>
      <c r="M200" s="2"/>
    </row>
    <row r="201" spans="1:13" x14ac:dyDescent="0.25">
      <c r="A201" s="128">
        <f t="shared" ref="A201:A264" si="6">A200+TIME(0,5,0)</f>
        <v>0.67361111111110927</v>
      </c>
      <c r="B201" s="24">
        <f>INDEX('IDF Distributions'!$A$1:$AB$290,MATCH('Bulk Tool'!$A201,'IDF Distributions'!$A$1:$A$290,0),MATCH('Bulk Tool'!B$5,'IDF Distributions'!$A$1:$AB$1,0))*INDEX($N$5:$N$11,MATCH(B$6,$L$5:$L$11,0))*IF($E$2="Depth (mm)",(1),IF($E$2="Intensity (mm/hr)",12,0))</f>
        <v>0.37158901958574447</v>
      </c>
      <c r="C201" s="24">
        <f>INDEX('IDF Distributions'!$A$1:$AB$290,MATCH('Bulk Tool'!$A201,'IDF Distributions'!$A$1:$A$290,0),MATCH('Bulk Tool'!C$5,'IDF Distributions'!$A$1:$AB$1,0))*INDEX($N$5:$N$11,MATCH(C$6,$L$5:$L$11,0))*IF($E$2="Depth (mm)",(1),IF($E$2="Intensity (mm/hr)",12,0))</f>
        <v>0.49550077234569795</v>
      </c>
      <c r="D201" s="24">
        <f>INDEX('IDF Distributions'!$A$1:$AB$290,MATCH('Bulk Tool'!$A201,'IDF Distributions'!$A$1:$A$290,0),MATCH('Bulk Tool'!D$5,'IDF Distributions'!$A$1:$AB$1,0))*INDEX($N$5:$N$11,MATCH(D$6,$L$5:$L$11,0))*IF($E$2="Depth (mm)",(1),IF($E$2="Intensity (mm/hr)",12,0))</f>
        <v>0.58348056030400319</v>
      </c>
      <c r="E201" s="24">
        <f>INDEX('IDF Distributions'!$A$1:$AB$290,MATCH('Bulk Tool'!$A201,'IDF Distributions'!$A$1:$A$290,0),MATCH('Bulk Tool'!E$5,'IDF Distributions'!$A$1:$AB$1,0))*INDEX($N$5:$N$11,MATCH(E$6,$L$5:$L$11,0))*IF($E$2="Depth (mm)",(1),IF($E$2="Intensity (mm/hr)",12,0))</f>
        <v>0.70460237324689345</v>
      </c>
      <c r="F201" s="24">
        <f>INDEX('IDF Distributions'!$A$1:$AB$290,MATCH('Bulk Tool'!$A201,'IDF Distributions'!$A$1:$A$290,0),MATCH('Bulk Tool'!F$5,'IDF Distributions'!$A$1:$AB$1,0))*INDEX($N$5:$N$11,MATCH(F$6,$L$5:$L$11,0))*IF($E$2="Depth (mm)",(1),IF($E$2="Intensity (mm/hr)",12,0))</f>
        <v>0.80020097512613009</v>
      </c>
      <c r="G201" s="24">
        <f>INDEX('IDF Distributions'!$A$1:$AB$290,MATCH('Bulk Tool'!$A201,'IDF Distributions'!$A$1:$A$290,0),MATCH('Bulk Tool'!G$5,'IDF Distributions'!$A$1:$AB$1,0))*INDEX($N$5:$N$11,MATCH(G$6,$L$5:$L$11,0))*IF($E$2="Depth (mm)",(1),IF($E$2="Intensity (mm/hr)",12,0))</f>
        <v>0.9012824323232369</v>
      </c>
      <c r="H201" s="24">
        <f>INDEX('IDF Distributions'!$A$1:$AB$290,MATCH('Bulk Tool'!$A201,'IDF Distributions'!$A$1:$A$290,0),MATCH('Bulk Tool'!H$5,'IDF Distributions'!$A$1:$AB$1,0))*INDEX($N$5:$N$11,MATCH(H$6,$L$5:$L$11,0))*IF($E$2="Depth (mm)",(1),IF($E$2="Intensity (mm/hr)",12,0))</f>
        <v>1.009382539885086</v>
      </c>
      <c r="I201" s="12" t="str">
        <f>IF(COUNTIF($H$7:H201,$H$7)&gt;1,"Do Not Copy","Copy")</f>
        <v>Copy</v>
      </c>
      <c r="L201"/>
      <c r="M201" s="2"/>
    </row>
    <row r="202" spans="1:13" x14ac:dyDescent="0.25">
      <c r="A202" s="128">
        <f t="shared" si="6"/>
        <v>0.67708333333333148</v>
      </c>
      <c r="B202" s="24">
        <f>INDEX('IDF Distributions'!$A$1:$AB$290,MATCH('Bulk Tool'!$A202,'IDF Distributions'!$A$1:$A$290,0),MATCH('Bulk Tool'!B$5,'IDF Distributions'!$A$1:$AB$1,0))*INDEX($N$5:$N$11,MATCH(B$6,$L$5:$L$11,0))*IF($E$2="Depth (mm)",(1),IF($E$2="Intensity (mm/hr)",12,0))</f>
        <v>0.38149806010804665</v>
      </c>
      <c r="C202" s="24">
        <f>INDEX('IDF Distributions'!$A$1:$AB$290,MATCH('Bulk Tool'!$A202,'IDF Distributions'!$A$1:$A$290,0),MATCH('Bulk Tool'!C$5,'IDF Distributions'!$A$1:$AB$1,0))*INDEX($N$5:$N$11,MATCH(C$6,$L$5:$L$11,0))*IF($E$2="Depth (mm)",(1),IF($E$2="Intensity (mm/hr)",12,0))</f>
        <v>0.50871412627493739</v>
      </c>
      <c r="D202" s="24">
        <f>INDEX('IDF Distributions'!$A$1:$AB$290,MATCH('Bulk Tool'!$A202,'IDF Distributions'!$A$1:$A$290,0),MATCH('Bulk Tool'!D$5,'IDF Distributions'!$A$1:$AB$1,0))*INDEX($N$5:$N$11,MATCH(D$6,$L$5:$L$11,0))*IF($E$2="Depth (mm)",(1),IF($E$2="Intensity (mm/hr)",12,0))</f>
        <v>0.59904004191213456</v>
      </c>
      <c r="E202" s="24">
        <f>INDEX('IDF Distributions'!$A$1:$AB$290,MATCH('Bulk Tool'!$A202,'IDF Distributions'!$A$1:$A$290,0),MATCH('Bulk Tool'!E$5,'IDF Distributions'!$A$1:$AB$1,0))*INDEX($N$5:$N$11,MATCH(E$6,$L$5:$L$11,0))*IF($E$2="Depth (mm)",(1),IF($E$2="Intensity (mm/hr)",12,0))</f>
        <v>0.72339176986684017</v>
      </c>
      <c r="F202" s="24">
        <f>INDEX('IDF Distributions'!$A$1:$AB$290,MATCH('Bulk Tool'!$A202,'IDF Distributions'!$A$1:$A$290,0),MATCH('Bulk Tool'!F$5,'IDF Distributions'!$A$1:$AB$1,0))*INDEX($N$5:$N$11,MATCH(F$6,$L$5:$L$11,0))*IF($E$2="Depth (mm)",(1),IF($E$2="Intensity (mm/hr)",12,0))</f>
        <v>0.82153966779619392</v>
      </c>
      <c r="G202" s="24">
        <f>INDEX('IDF Distributions'!$A$1:$AB$290,MATCH('Bulk Tool'!$A202,'IDF Distributions'!$A$1:$A$290,0),MATCH('Bulk Tool'!G$5,'IDF Distributions'!$A$1:$AB$1,0))*INDEX($N$5:$N$11,MATCH(G$6,$L$5:$L$11,0))*IF($E$2="Depth (mm)",(1),IF($E$2="Intensity (mm/hr)",12,0))</f>
        <v>0.92531663051856117</v>
      </c>
      <c r="H202" s="24">
        <f>INDEX('IDF Distributions'!$A$1:$AB$290,MATCH('Bulk Tool'!$A202,'IDF Distributions'!$A$1:$A$290,0),MATCH('Bulk Tool'!H$5,'IDF Distributions'!$A$1:$AB$1,0))*INDEX($N$5:$N$11,MATCH(H$6,$L$5:$L$11,0))*IF($E$2="Depth (mm)",(1),IF($E$2="Intensity (mm/hr)",12,0))</f>
        <v>1.0362994076153973</v>
      </c>
      <c r="I202" s="12" t="str">
        <f>IF(COUNTIF($H$7:H202,$H$7)&gt;1,"Do Not Copy","Copy")</f>
        <v>Copy</v>
      </c>
      <c r="L202"/>
      <c r="M202" s="2"/>
    </row>
    <row r="203" spans="1:13" x14ac:dyDescent="0.25">
      <c r="A203" s="128">
        <f t="shared" si="6"/>
        <v>0.68055555555555369</v>
      </c>
      <c r="B203" s="24">
        <f>INDEX('IDF Distributions'!$A$1:$AB$290,MATCH('Bulk Tool'!$A203,'IDF Distributions'!$A$1:$A$290,0),MATCH('Bulk Tool'!B$5,'IDF Distributions'!$A$1:$AB$1,0))*INDEX($N$5:$N$11,MATCH(B$6,$L$5:$L$11,0))*IF($E$2="Depth (mm)",(1),IF($E$2="Intensity (mm/hr)",12,0))</f>
        <v>0.37654353984690381</v>
      </c>
      <c r="C203" s="24">
        <f>INDEX('IDF Distributions'!$A$1:$AB$290,MATCH('Bulk Tool'!$A203,'IDF Distributions'!$A$1:$A$290,0),MATCH('Bulk Tool'!C$5,'IDF Distributions'!$A$1:$AB$1,0))*INDEX($N$5:$N$11,MATCH(C$6,$L$5:$L$11,0))*IF($E$2="Depth (mm)",(1),IF($E$2="Intensity (mm/hr)",12,0))</f>
        <v>0.50210744931032869</v>
      </c>
      <c r="D203" s="24">
        <f>INDEX('IDF Distributions'!$A$1:$AB$290,MATCH('Bulk Tool'!$A203,'IDF Distributions'!$A$1:$A$290,0),MATCH('Bulk Tool'!D$5,'IDF Distributions'!$A$1:$AB$1,0))*INDEX($N$5:$N$11,MATCH(D$6,$L$5:$L$11,0))*IF($E$2="Depth (mm)",(1),IF($E$2="Intensity (mm/hr)",12,0))</f>
        <v>0.59126030110808192</v>
      </c>
      <c r="E203" s="24">
        <f>INDEX('IDF Distributions'!$A$1:$AB$290,MATCH('Bulk Tool'!$A203,'IDF Distributions'!$A$1:$A$290,0),MATCH('Bulk Tool'!E$5,'IDF Distributions'!$A$1:$AB$1,0))*INDEX($N$5:$N$11,MATCH(E$6,$L$5:$L$11,0))*IF($E$2="Depth (mm)",(1),IF($E$2="Intensity (mm/hr)",12,0))</f>
        <v>0.71399707155688241</v>
      </c>
      <c r="F203" s="24">
        <f>INDEX('IDF Distributions'!$A$1:$AB$290,MATCH('Bulk Tool'!$A203,'IDF Distributions'!$A$1:$A$290,0),MATCH('Bulk Tool'!F$5,'IDF Distributions'!$A$1:$AB$1,0))*INDEX($N$5:$N$11,MATCH(F$6,$L$5:$L$11,0))*IF($E$2="Depth (mm)",(1),IF($E$2="Intensity (mm/hr)",12,0))</f>
        <v>0.81087032146117988</v>
      </c>
      <c r="G203" s="24">
        <f>INDEX('IDF Distributions'!$A$1:$AB$290,MATCH('Bulk Tool'!$A203,'IDF Distributions'!$A$1:$A$290,0),MATCH('Bulk Tool'!G$5,'IDF Distributions'!$A$1:$AB$1,0))*INDEX($N$5:$N$11,MATCH(G$6,$L$5:$L$11,0))*IF($E$2="Depth (mm)",(1),IF($E$2="Intensity (mm/hr)",12,0))</f>
        <v>0.91329953142091891</v>
      </c>
      <c r="H203" s="24">
        <f>INDEX('IDF Distributions'!$A$1:$AB$290,MATCH('Bulk Tool'!$A203,'IDF Distributions'!$A$1:$A$290,0),MATCH('Bulk Tool'!H$5,'IDF Distributions'!$A$1:$AB$1,0))*INDEX($N$5:$N$11,MATCH(H$6,$L$5:$L$11,0))*IF($E$2="Depth (mm)",(1),IF($E$2="Intensity (mm/hr)",12,0))</f>
        <v>1.0228409737502639</v>
      </c>
      <c r="I203" s="12" t="str">
        <f>IF(COUNTIF($H$7:H203,$H$7)&gt;1,"Do Not Copy","Copy")</f>
        <v>Copy</v>
      </c>
      <c r="L203"/>
      <c r="M203" s="2"/>
    </row>
    <row r="204" spans="1:13" x14ac:dyDescent="0.25">
      <c r="A204" s="128">
        <f t="shared" si="6"/>
        <v>0.6840277777777759</v>
      </c>
      <c r="B204" s="24">
        <f>INDEX('IDF Distributions'!$A$1:$AB$290,MATCH('Bulk Tool'!$A204,'IDF Distributions'!$A$1:$A$290,0),MATCH('Bulk Tool'!B$5,'IDF Distributions'!$A$1:$AB$1,0))*INDEX($N$5:$N$11,MATCH(B$6,$L$5:$L$11,0))*IF($E$2="Depth (mm)",(1),IF($E$2="Intensity (mm/hr)",12,0))</f>
        <v>0.37654353984688727</v>
      </c>
      <c r="C204" s="24">
        <f>INDEX('IDF Distributions'!$A$1:$AB$290,MATCH('Bulk Tool'!$A204,'IDF Distributions'!$A$1:$A$290,0),MATCH('Bulk Tool'!C$5,'IDF Distributions'!$A$1:$AB$1,0))*INDEX($N$5:$N$11,MATCH(C$6,$L$5:$L$11,0))*IF($E$2="Depth (mm)",(1),IF($E$2="Intensity (mm/hr)",12,0))</f>
        <v>0.50210744931030671</v>
      </c>
      <c r="D204" s="24">
        <f>INDEX('IDF Distributions'!$A$1:$AB$290,MATCH('Bulk Tool'!$A204,'IDF Distributions'!$A$1:$A$290,0),MATCH('Bulk Tool'!D$5,'IDF Distributions'!$A$1:$AB$1,0))*INDEX($N$5:$N$11,MATCH(D$6,$L$5:$L$11,0))*IF($E$2="Depth (mm)",(1),IF($E$2="Intensity (mm/hr)",12,0))</f>
        <v>0.59126030110805594</v>
      </c>
      <c r="E204" s="24">
        <f>INDEX('IDF Distributions'!$A$1:$AB$290,MATCH('Bulk Tool'!$A204,'IDF Distributions'!$A$1:$A$290,0),MATCH('Bulk Tool'!E$5,'IDF Distributions'!$A$1:$AB$1,0))*INDEX($N$5:$N$11,MATCH(E$6,$L$5:$L$11,0))*IF($E$2="Depth (mm)",(1),IF($E$2="Intensity (mm/hr)",12,0))</f>
        <v>0.71399707155685121</v>
      </c>
      <c r="F204" s="24">
        <f>INDEX('IDF Distributions'!$A$1:$AB$290,MATCH('Bulk Tool'!$A204,'IDF Distributions'!$A$1:$A$290,0),MATCH('Bulk Tool'!F$5,'IDF Distributions'!$A$1:$AB$1,0))*INDEX($N$5:$N$11,MATCH(F$6,$L$5:$L$11,0))*IF($E$2="Depth (mm)",(1),IF($E$2="Intensity (mm/hr)",12,0))</f>
        <v>0.81087032146114435</v>
      </c>
      <c r="G204" s="24">
        <f>INDEX('IDF Distributions'!$A$1:$AB$290,MATCH('Bulk Tool'!$A204,'IDF Distributions'!$A$1:$A$290,0),MATCH('Bulk Tool'!G$5,'IDF Distributions'!$A$1:$AB$1,0))*INDEX($N$5:$N$11,MATCH(G$6,$L$5:$L$11,0))*IF($E$2="Depth (mm)",(1),IF($E$2="Intensity (mm/hr)",12,0))</f>
        <v>0.91329953142087894</v>
      </c>
      <c r="H204" s="24">
        <f>INDEX('IDF Distributions'!$A$1:$AB$290,MATCH('Bulk Tool'!$A204,'IDF Distributions'!$A$1:$A$290,0),MATCH('Bulk Tool'!H$5,'IDF Distributions'!$A$1:$AB$1,0))*INDEX($N$5:$N$11,MATCH(H$6,$L$5:$L$11,0))*IF($E$2="Depth (mm)",(1),IF($E$2="Intensity (mm/hr)",12,0))</f>
        <v>1.0228409737502191</v>
      </c>
      <c r="I204" s="12" t="str">
        <f>IF(COUNTIF($H$7:H204,$H$7)&gt;1,"Do Not Copy","Copy")</f>
        <v>Copy</v>
      </c>
      <c r="L204"/>
      <c r="M204" s="2"/>
    </row>
    <row r="205" spans="1:13" x14ac:dyDescent="0.25">
      <c r="A205" s="128">
        <f t="shared" si="6"/>
        <v>0.68749999999999811</v>
      </c>
      <c r="B205" s="24">
        <f>INDEX('IDF Distributions'!$A$1:$AB$290,MATCH('Bulk Tool'!$A205,'IDF Distributions'!$A$1:$A$290,0),MATCH('Bulk Tool'!B$5,'IDF Distributions'!$A$1:$AB$1,0))*INDEX($N$5:$N$11,MATCH(B$6,$L$5:$L$11,0))*IF($E$2="Depth (mm)",(1),IF($E$2="Intensity (mm/hr)",12,0))</f>
        <v>0.38149806010803011</v>
      </c>
      <c r="C205" s="24">
        <f>INDEX('IDF Distributions'!$A$1:$AB$290,MATCH('Bulk Tool'!$A205,'IDF Distributions'!$A$1:$A$290,0),MATCH('Bulk Tool'!C$5,'IDF Distributions'!$A$1:$AB$1,0))*INDEX($N$5:$N$11,MATCH(C$6,$L$5:$L$11,0))*IF($E$2="Depth (mm)",(1),IF($E$2="Intensity (mm/hr)",12,0))</f>
        <v>0.50871412627491541</v>
      </c>
      <c r="D205" s="24">
        <f>INDEX('IDF Distributions'!$A$1:$AB$290,MATCH('Bulk Tool'!$A205,'IDF Distributions'!$A$1:$A$290,0),MATCH('Bulk Tool'!D$5,'IDF Distributions'!$A$1:$AB$1,0))*INDEX($N$5:$N$11,MATCH(D$6,$L$5:$L$11,0))*IF($E$2="Depth (mm)",(1),IF($E$2="Intensity (mm/hr)",12,0))</f>
        <v>0.59904004191210869</v>
      </c>
      <c r="E205" s="24">
        <f>INDEX('IDF Distributions'!$A$1:$AB$290,MATCH('Bulk Tool'!$A205,'IDF Distributions'!$A$1:$A$290,0),MATCH('Bulk Tool'!E$5,'IDF Distributions'!$A$1:$AB$1,0))*INDEX($N$5:$N$11,MATCH(E$6,$L$5:$L$11,0))*IF($E$2="Depth (mm)",(1),IF($E$2="Intensity (mm/hr)",12,0))</f>
        <v>0.72339176986680898</v>
      </c>
      <c r="F205" s="24">
        <f>INDEX('IDF Distributions'!$A$1:$AB$290,MATCH('Bulk Tool'!$A205,'IDF Distributions'!$A$1:$A$290,0),MATCH('Bulk Tool'!F$5,'IDF Distributions'!$A$1:$AB$1,0))*INDEX($N$5:$N$11,MATCH(F$6,$L$5:$L$11,0))*IF($E$2="Depth (mm)",(1),IF($E$2="Intensity (mm/hr)",12,0))</f>
        <v>0.82153966779615839</v>
      </c>
      <c r="G205" s="24">
        <f>INDEX('IDF Distributions'!$A$1:$AB$290,MATCH('Bulk Tool'!$A205,'IDF Distributions'!$A$1:$A$290,0),MATCH('Bulk Tool'!G$5,'IDF Distributions'!$A$1:$AB$1,0))*INDEX($N$5:$N$11,MATCH(G$6,$L$5:$L$11,0))*IF($E$2="Depth (mm)",(1),IF($E$2="Intensity (mm/hr)",12,0))</f>
        <v>0.92531663051852098</v>
      </c>
      <c r="H205" s="24">
        <f>INDEX('IDF Distributions'!$A$1:$AB$290,MATCH('Bulk Tool'!$A205,'IDF Distributions'!$A$1:$A$290,0),MATCH('Bulk Tool'!H$5,'IDF Distributions'!$A$1:$AB$1,0))*INDEX($N$5:$N$11,MATCH(H$6,$L$5:$L$11,0))*IF($E$2="Depth (mm)",(1),IF($E$2="Intensity (mm/hr)",12,0))</f>
        <v>1.0362994076153524</v>
      </c>
      <c r="I205" s="12" t="str">
        <f>IF(COUNTIF($H$7:H205,$H$7)&gt;1,"Do Not Copy","Copy")</f>
        <v>Copy</v>
      </c>
      <c r="L205"/>
      <c r="M205" s="2"/>
    </row>
    <row r="206" spans="1:13" x14ac:dyDescent="0.25">
      <c r="A206" s="128">
        <f t="shared" si="6"/>
        <v>0.69097222222222032</v>
      </c>
      <c r="B206" s="24">
        <f>INDEX('IDF Distributions'!$A$1:$AB$290,MATCH('Bulk Tool'!$A206,'IDF Distributions'!$A$1:$A$290,0),MATCH('Bulk Tool'!B$5,'IDF Distributions'!$A$1:$AB$1,0))*INDEX($N$5:$N$11,MATCH(B$6,$L$5:$L$11,0))*IF($E$2="Depth (mm)",(1),IF($E$2="Intensity (mm/hr)",12,0))</f>
        <v>0.37158901958576096</v>
      </c>
      <c r="C206" s="24">
        <f>INDEX('IDF Distributions'!$A$1:$AB$290,MATCH('Bulk Tool'!$A206,'IDF Distributions'!$A$1:$A$290,0),MATCH('Bulk Tool'!C$5,'IDF Distributions'!$A$1:$AB$1,0))*INDEX($N$5:$N$11,MATCH(C$6,$L$5:$L$11,0))*IF($E$2="Depth (mm)",(1),IF($E$2="Intensity (mm/hr)",12,0))</f>
        <v>0.49550077234571999</v>
      </c>
      <c r="D206" s="24">
        <f>INDEX('IDF Distributions'!$A$1:$AB$290,MATCH('Bulk Tool'!$A206,'IDF Distributions'!$A$1:$A$290,0),MATCH('Bulk Tool'!D$5,'IDF Distributions'!$A$1:$AB$1,0))*INDEX($N$5:$N$11,MATCH(D$6,$L$5:$L$11,0))*IF($E$2="Depth (mm)",(1),IF($E$2="Intensity (mm/hr)",12,0))</f>
        <v>0.58348056030402917</v>
      </c>
      <c r="E206" s="24">
        <f>INDEX('IDF Distributions'!$A$1:$AB$290,MATCH('Bulk Tool'!$A206,'IDF Distributions'!$A$1:$A$290,0),MATCH('Bulk Tool'!E$5,'IDF Distributions'!$A$1:$AB$1,0))*INDEX($N$5:$N$11,MATCH(E$6,$L$5:$L$11,0))*IF($E$2="Depth (mm)",(1),IF($E$2="Intensity (mm/hr)",12,0))</f>
        <v>0.70460237324692476</v>
      </c>
      <c r="F206" s="24">
        <f>INDEX('IDF Distributions'!$A$1:$AB$290,MATCH('Bulk Tool'!$A206,'IDF Distributions'!$A$1:$A$290,0),MATCH('Bulk Tool'!F$5,'IDF Distributions'!$A$1:$AB$1,0))*INDEX($N$5:$N$11,MATCH(F$6,$L$5:$L$11,0))*IF($E$2="Depth (mm)",(1),IF($E$2="Intensity (mm/hr)",12,0))</f>
        <v>0.80020097512616584</v>
      </c>
      <c r="G206" s="24">
        <f>INDEX('IDF Distributions'!$A$1:$AB$290,MATCH('Bulk Tool'!$A206,'IDF Distributions'!$A$1:$A$290,0),MATCH('Bulk Tool'!G$5,'IDF Distributions'!$A$1:$AB$1,0))*INDEX($N$5:$N$11,MATCH(G$6,$L$5:$L$11,0))*IF($E$2="Depth (mm)",(1),IF($E$2="Intensity (mm/hr)",12,0))</f>
        <v>0.90128243232327687</v>
      </c>
      <c r="H206" s="24">
        <f>INDEX('IDF Distributions'!$A$1:$AB$290,MATCH('Bulk Tool'!$A206,'IDF Distributions'!$A$1:$A$290,0),MATCH('Bulk Tool'!H$5,'IDF Distributions'!$A$1:$AB$1,0))*INDEX($N$5:$N$11,MATCH(H$6,$L$5:$L$11,0))*IF($E$2="Depth (mm)",(1),IF($E$2="Intensity (mm/hr)",12,0))</f>
        <v>1.0093825398851306</v>
      </c>
      <c r="I206" s="12" t="str">
        <f>IF(COUNTIF($H$7:H206,$H$7)&gt;1,"Do Not Copy","Copy")</f>
        <v>Copy</v>
      </c>
      <c r="L206"/>
      <c r="M206" s="2"/>
    </row>
    <row r="207" spans="1:13" x14ac:dyDescent="0.25">
      <c r="A207" s="128">
        <f t="shared" si="6"/>
        <v>0.69444444444444253</v>
      </c>
      <c r="B207" s="24">
        <f>INDEX('IDF Distributions'!$A$1:$AB$290,MATCH('Bulk Tool'!$A207,'IDF Distributions'!$A$1:$A$290,0),MATCH('Bulk Tool'!B$5,'IDF Distributions'!$A$1:$AB$1,0))*INDEX($N$5:$N$11,MATCH(B$6,$L$5:$L$11,0))*IF($E$2="Depth (mm)",(1),IF($E$2="Intensity (mm/hr)",12,0))</f>
        <v>0.37158901958576096</v>
      </c>
      <c r="C207" s="24">
        <f>INDEX('IDF Distributions'!$A$1:$AB$290,MATCH('Bulk Tool'!$A207,'IDF Distributions'!$A$1:$A$290,0),MATCH('Bulk Tool'!C$5,'IDF Distributions'!$A$1:$AB$1,0))*INDEX($N$5:$N$11,MATCH(C$6,$L$5:$L$11,0))*IF($E$2="Depth (mm)",(1),IF($E$2="Intensity (mm/hr)",12,0))</f>
        <v>0.49550077234571999</v>
      </c>
      <c r="D207" s="24">
        <f>INDEX('IDF Distributions'!$A$1:$AB$290,MATCH('Bulk Tool'!$A207,'IDF Distributions'!$A$1:$A$290,0),MATCH('Bulk Tool'!D$5,'IDF Distributions'!$A$1:$AB$1,0))*INDEX($N$5:$N$11,MATCH(D$6,$L$5:$L$11,0))*IF($E$2="Depth (mm)",(1),IF($E$2="Intensity (mm/hr)",12,0))</f>
        <v>0.58348056030402917</v>
      </c>
      <c r="E207" s="24">
        <f>INDEX('IDF Distributions'!$A$1:$AB$290,MATCH('Bulk Tool'!$A207,'IDF Distributions'!$A$1:$A$290,0),MATCH('Bulk Tool'!E$5,'IDF Distributions'!$A$1:$AB$1,0))*INDEX($N$5:$N$11,MATCH(E$6,$L$5:$L$11,0))*IF($E$2="Depth (mm)",(1),IF($E$2="Intensity (mm/hr)",12,0))</f>
        <v>0.70460237324692476</v>
      </c>
      <c r="F207" s="24">
        <f>INDEX('IDF Distributions'!$A$1:$AB$290,MATCH('Bulk Tool'!$A207,'IDF Distributions'!$A$1:$A$290,0),MATCH('Bulk Tool'!F$5,'IDF Distributions'!$A$1:$AB$1,0))*INDEX($N$5:$N$11,MATCH(F$6,$L$5:$L$11,0))*IF($E$2="Depth (mm)",(1),IF($E$2="Intensity (mm/hr)",12,0))</f>
        <v>0.80020097512616584</v>
      </c>
      <c r="G207" s="24">
        <f>INDEX('IDF Distributions'!$A$1:$AB$290,MATCH('Bulk Tool'!$A207,'IDF Distributions'!$A$1:$A$290,0),MATCH('Bulk Tool'!G$5,'IDF Distributions'!$A$1:$AB$1,0))*INDEX($N$5:$N$11,MATCH(G$6,$L$5:$L$11,0))*IF($E$2="Depth (mm)",(1),IF($E$2="Intensity (mm/hr)",12,0))</f>
        <v>0.90128243232327687</v>
      </c>
      <c r="H207" s="24">
        <f>INDEX('IDF Distributions'!$A$1:$AB$290,MATCH('Bulk Tool'!$A207,'IDF Distributions'!$A$1:$A$290,0),MATCH('Bulk Tool'!H$5,'IDF Distributions'!$A$1:$AB$1,0))*INDEX($N$5:$N$11,MATCH(H$6,$L$5:$L$11,0))*IF($E$2="Depth (mm)",(1),IF($E$2="Intensity (mm/hr)",12,0))</f>
        <v>1.0093825398851306</v>
      </c>
      <c r="I207" s="12" t="str">
        <f>IF(COUNTIF($H$7:H207,$H$7)&gt;1,"Do Not Copy","Copy")</f>
        <v>Copy</v>
      </c>
      <c r="L207"/>
      <c r="M207" s="2"/>
    </row>
    <row r="208" spans="1:13" x14ac:dyDescent="0.25">
      <c r="A208" s="128">
        <f t="shared" si="6"/>
        <v>0.69791666666666474</v>
      </c>
      <c r="B208" s="24">
        <f>INDEX('IDF Distributions'!$A$1:$AB$290,MATCH('Bulk Tool'!$A208,'IDF Distributions'!$A$1:$A$290,0),MATCH('Bulk Tool'!B$5,'IDF Distributions'!$A$1:$AB$1,0))*INDEX($N$5:$N$11,MATCH(B$6,$L$5:$L$11,0))*IF($E$2="Depth (mm)",(1),IF($E$2="Intensity (mm/hr)",12,0))</f>
        <v>0.36167997906345883</v>
      </c>
      <c r="C208" s="24">
        <f>INDEX('IDF Distributions'!$A$1:$AB$290,MATCH('Bulk Tool'!$A208,'IDF Distributions'!$A$1:$A$290,0),MATCH('Bulk Tool'!C$5,'IDF Distributions'!$A$1:$AB$1,0))*INDEX($N$5:$N$11,MATCH(C$6,$L$5:$L$11,0))*IF($E$2="Depth (mm)",(1),IF($E$2="Intensity (mm/hr)",12,0))</f>
        <v>0.4822874184164806</v>
      </c>
      <c r="D208" s="24">
        <f>INDEX('IDF Distributions'!$A$1:$AB$290,MATCH('Bulk Tool'!$A208,'IDF Distributions'!$A$1:$A$290,0),MATCH('Bulk Tool'!D$5,'IDF Distributions'!$A$1:$AB$1,0))*INDEX($N$5:$N$11,MATCH(D$6,$L$5:$L$11,0))*IF($E$2="Depth (mm)",(1),IF($E$2="Intensity (mm/hr)",12,0))</f>
        <v>0.56792107869589792</v>
      </c>
      <c r="E208" s="24">
        <f>INDEX('IDF Distributions'!$A$1:$AB$290,MATCH('Bulk Tool'!$A208,'IDF Distributions'!$A$1:$A$290,0),MATCH('Bulk Tool'!E$5,'IDF Distributions'!$A$1:$AB$1,0))*INDEX($N$5:$N$11,MATCH(E$6,$L$5:$L$11,0))*IF($E$2="Depth (mm)",(1),IF($E$2="Intensity (mm/hr)",12,0))</f>
        <v>0.68581297662697793</v>
      </c>
      <c r="F208" s="24">
        <f>INDEX('IDF Distributions'!$A$1:$AB$290,MATCH('Bulk Tool'!$A208,'IDF Distributions'!$A$1:$A$290,0),MATCH('Bulk Tool'!F$5,'IDF Distributions'!$A$1:$AB$1,0))*INDEX($N$5:$N$11,MATCH(F$6,$L$5:$L$11,0))*IF($E$2="Depth (mm)",(1),IF($E$2="Intensity (mm/hr)",12,0))</f>
        <v>0.77886228245610201</v>
      </c>
      <c r="G208" s="24">
        <f>INDEX('IDF Distributions'!$A$1:$AB$290,MATCH('Bulk Tool'!$A208,'IDF Distributions'!$A$1:$A$290,0),MATCH('Bulk Tool'!G$5,'IDF Distributions'!$A$1:$AB$1,0))*INDEX($N$5:$N$11,MATCH(G$6,$L$5:$L$11,0))*IF($E$2="Depth (mm)",(1),IF($E$2="Intensity (mm/hr)",12,0))</f>
        <v>0.87724823412795272</v>
      </c>
      <c r="H208" s="24">
        <f>INDEX('IDF Distributions'!$A$1:$AB$290,MATCH('Bulk Tool'!$A208,'IDF Distributions'!$A$1:$A$290,0),MATCH('Bulk Tool'!H$5,'IDF Distributions'!$A$1:$AB$1,0))*INDEX($N$5:$N$11,MATCH(H$6,$L$5:$L$11,0))*IF($E$2="Depth (mm)",(1),IF($E$2="Intensity (mm/hr)",12,0))</f>
        <v>0.98246567215481928</v>
      </c>
      <c r="I208" s="12" t="str">
        <f>IF(COUNTIF($H$7:H208,$H$7)&gt;1,"Do Not Copy","Copy")</f>
        <v>Copy</v>
      </c>
      <c r="L208"/>
      <c r="M208" s="2"/>
    </row>
    <row r="209" spans="1:13" x14ac:dyDescent="0.25">
      <c r="A209" s="128">
        <f t="shared" si="6"/>
        <v>0.70138888888888695</v>
      </c>
      <c r="B209" s="24">
        <f>INDEX('IDF Distributions'!$A$1:$AB$290,MATCH('Bulk Tool'!$A209,'IDF Distributions'!$A$1:$A$290,0),MATCH('Bulk Tool'!B$5,'IDF Distributions'!$A$1:$AB$1,0))*INDEX($N$5:$N$11,MATCH(B$6,$L$5:$L$11,0))*IF($E$2="Depth (mm)",(1),IF($E$2="Intensity (mm/hr)",12,0))</f>
        <v>0.36663449932460163</v>
      </c>
      <c r="C209" s="24">
        <f>INDEX('IDF Distributions'!$A$1:$AB$290,MATCH('Bulk Tool'!$A209,'IDF Distributions'!$A$1:$A$290,0),MATCH('Bulk Tool'!C$5,'IDF Distributions'!$A$1:$AB$1,0))*INDEX($N$5:$N$11,MATCH(C$6,$L$5:$L$11,0))*IF($E$2="Depth (mm)",(1),IF($E$2="Intensity (mm/hr)",12,0))</f>
        <v>0.48889409538108919</v>
      </c>
      <c r="D209" s="24">
        <f>INDEX('IDF Distributions'!$A$1:$AB$290,MATCH('Bulk Tool'!$A209,'IDF Distributions'!$A$1:$A$290,0),MATCH('Bulk Tool'!D$5,'IDF Distributions'!$A$1:$AB$1,0))*INDEX($N$5:$N$11,MATCH(D$6,$L$5:$L$11,0))*IF($E$2="Depth (mm)",(1),IF($E$2="Intensity (mm/hr)",12,0))</f>
        <v>0.57570081949995067</v>
      </c>
      <c r="E209" s="24">
        <f>INDEX('IDF Distributions'!$A$1:$AB$290,MATCH('Bulk Tool'!$A209,'IDF Distributions'!$A$1:$A$290,0),MATCH('Bulk Tool'!E$5,'IDF Distributions'!$A$1:$AB$1,0))*INDEX($N$5:$N$11,MATCH(E$6,$L$5:$L$11,0))*IF($E$2="Depth (mm)",(1),IF($E$2="Intensity (mm/hr)",12,0))</f>
        <v>0.69520767493693569</v>
      </c>
      <c r="F209" s="24">
        <f>INDEX('IDF Distributions'!$A$1:$AB$290,MATCH('Bulk Tool'!$A209,'IDF Distributions'!$A$1:$A$290,0),MATCH('Bulk Tool'!F$5,'IDF Distributions'!$A$1:$AB$1,0))*INDEX($N$5:$N$11,MATCH(F$6,$L$5:$L$11,0))*IF($E$2="Depth (mm)",(1),IF($E$2="Intensity (mm/hr)",12,0))</f>
        <v>0.78953162879111616</v>
      </c>
      <c r="G209" s="24">
        <f>INDEX('IDF Distributions'!$A$1:$AB$290,MATCH('Bulk Tool'!$A209,'IDF Distributions'!$A$1:$A$290,0),MATCH('Bulk Tool'!G$5,'IDF Distributions'!$A$1:$AB$1,0))*INDEX($N$5:$N$11,MATCH(G$6,$L$5:$L$11,0))*IF($E$2="Depth (mm)",(1),IF($E$2="Intensity (mm/hr)",12,0))</f>
        <v>0.88926533322559465</v>
      </c>
      <c r="H209" s="24">
        <f>INDEX('IDF Distributions'!$A$1:$AB$290,MATCH('Bulk Tool'!$A209,'IDF Distributions'!$A$1:$A$290,0),MATCH('Bulk Tool'!H$5,'IDF Distributions'!$A$1:$AB$1,0))*INDEX($N$5:$N$11,MATCH(H$6,$L$5:$L$11,0))*IF($E$2="Depth (mm)",(1),IF($E$2="Intensity (mm/hr)",12,0))</f>
        <v>0.99592410601995263</v>
      </c>
      <c r="I209" s="12" t="str">
        <f>IF(COUNTIF($H$7:H209,$H$7)&gt;1,"Do Not Copy","Copy")</f>
        <v>Copy</v>
      </c>
      <c r="L209"/>
      <c r="M209" s="2"/>
    </row>
    <row r="210" spans="1:13" x14ac:dyDescent="0.25">
      <c r="A210" s="128">
        <f t="shared" si="6"/>
        <v>0.70486111111110916</v>
      </c>
      <c r="B210" s="24">
        <f>INDEX('IDF Distributions'!$A$1:$AB$290,MATCH('Bulk Tool'!$A210,'IDF Distributions'!$A$1:$A$290,0),MATCH('Bulk Tool'!B$5,'IDF Distributions'!$A$1:$AB$1,0))*INDEX($N$5:$N$11,MATCH(B$6,$L$5:$L$11,0))*IF($E$2="Depth (mm)",(1),IF($E$2="Intensity (mm/hr)",12,0))</f>
        <v>0.37158901958576096</v>
      </c>
      <c r="C210" s="24">
        <f>INDEX('IDF Distributions'!$A$1:$AB$290,MATCH('Bulk Tool'!$A210,'IDF Distributions'!$A$1:$A$290,0),MATCH('Bulk Tool'!C$5,'IDF Distributions'!$A$1:$AB$1,0))*INDEX($N$5:$N$11,MATCH(C$6,$L$5:$L$11,0))*IF($E$2="Depth (mm)",(1),IF($E$2="Intensity (mm/hr)",12,0))</f>
        <v>0.49550077234571999</v>
      </c>
      <c r="D210" s="24">
        <f>INDEX('IDF Distributions'!$A$1:$AB$290,MATCH('Bulk Tool'!$A210,'IDF Distributions'!$A$1:$A$290,0),MATCH('Bulk Tool'!D$5,'IDF Distributions'!$A$1:$AB$1,0))*INDEX($N$5:$N$11,MATCH(D$6,$L$5:$L$11,0))*IF($E$2="Depth (mm)",(1),IF($E$2="Intensity (mm/hr)",12,0))</f>
        <v>0.58348056030402917</v>
      </c>
      <c r="E210" s="24">
        <f>INDEX('IDF Distributions'!$A$1:$AB$290,MATCH('Bulk Tool'!$A210,'IDF Distributions'!$A$1:$A$290,0),MATCH('Bulk Tool'!E$5,'IDF Distributions'!$A$1:$AB$1,0))*INDEX($N$5:$N$11,MATCH(E$6,$L$5:$L$11,0))*IF($E$2="Depth (mm)",(1),IF($E$2="Intensity (mm/hr)",12,0))</f>
        <v>0.70460237324692476</v>
      </c>
      <c r="F210" s="24">
        <f>INDEX('IDF Distributions'!$A$1:$AB$290,MATCH('Bulk Tool'!$A210,'IDF Distributions'!$A$1:$A$290,0),MATCH('Bulk Tool'!F$5,'IDF Distributions'!$A$1:$AB$1,0))*INDEX($N$5:$N$11,MATCH(F$6,$L$5:$L$11,0))*IF($E$2="Depth (mm)",(1),IF($E$2="Intensity (mm/hr)",12,0))</f>
        <v>0.80020097512616584</v>
      </c>
      <c r="G210" s="24">
        <f>INDEX('IDF Distributions'!$A$1:$AB$290,MATCH('Bulk Tool'!$A210,'IDF Distributions'!$A$1:$A$290,0),MATCH('Bulk Tool'!G$5,'IDF Distributions'!$A$1:$AB$1,0))*INDEX($N$5:$N$11,MATCH(G$6,$L$5:$L$11,0))*IF($E$2="Depth (mm)",(1),IF($E$2="Intensity (mm/hr)",12,0))</f>
        <v>0.90128243232327687</v>
      </c>
      <c r="H210" s="24">
        <f>INDEX('IDF Distributions'!$A$1:$AB$290,MATCH('Bulk Tool'!$A210,'IDF Distributions'!$A$1:$A$290,0),MATCH('Bulk Tool'!H$5,'IDF Distributions'!$A$1:$AB$1,0))*INDEX($N$5:$N$11,MATCH(H$6,$L$5:$L$11,0))*IF($E$2="Depth (mm)",(1),IF($E$2="Intensity (mm/hr)",12,0))</f>
        <v>1.0093825398851306</v>
      </c>
      <c r="I210" s="12" t="str">
        <f>IF(COUNTIF($H$7:H210,$H$7)&gt;1,"Do Not Copy","Copy")</f>
        <v>Copy</v>
      </c>
      <c r="L210"/>
      <c r="M210" s="2"/>
    </row>
    <row r="211" spans="1:13" x14ac:dyDescent="0.25">
      <c r="A211" s="128">
        <f t="shared" si="6"/>
        <v>0.70833333333333137</v>
      </c>
      <c r="B211" s="24">
        <f>INDEX('IDF Distributions'!$A$1:$AB$290,MATCH('Bulk Tool'!$A211,'IDF Distributions'!$A$1:$A$290,0),MATCH('Bulk Tool'!B$5,'IDF Distributions'!$A$1:$AB$1,0))*INDEX($N$5:$N$11,MATCH(B$6,$L$5:$L$11,0))*IF($E$2="Depth (mm)",(1),IF($E$2="Intensity (mm/hr)",12,0))</f>
        <v>0.36911175945517305</v>
      </c>
      <c r="C211" s="24">
        <f>INDEX('IDF Distributions'!$A$1:$AB$290,MATCH('Bulk Tool'!$A211,'IDF Distributions'!$A$1:$A$290,0),MATCH('Bulk Tool'!C$5,'IDF Distributions'!$A$1:$AB$1,0))*INDEX($N$5:$N$11,MATCH(C$6,$L$5:$L$11,0))*IF($E$2="Depth (mm)",(1),IF($E$2="Intensity (mm/hr)",12,0))</f>
        <v>0.49219743386339365</v>
      </c>
      <c r="D211" s="24">
        <f>INDEX('IDF Distributions'!$A$1:$AB$290,MATCH('Bulk Tool'!$A211,'IDF Distributions'!$A$1:$A$290,0),MATCH('Bulk Tool'!D$5,'IDF Distributions'!$A$1:$AB$1,0))*INDEX($N$5:$N$11,MATCH(D$6,$L$5:$L$11,0))*IF($E$2="Depth (mm)",(1),IF($E$2="Intensity (mm/hr)",12,0))</f>
        <v>0.57959068990197693</v>
      </c>
      <c r="E211" s="24">
        <f>INDEX('IDF Distributions'!$A$1:$AB$290,MATCH('Bulk Tool'!$A211,'IDF Distributions'!$A$1:$A$290,0),MATCH('Bulk Tool'!E$5,'IDF Distributions'!$A$1:$AB$1,0))*INDEX($N$5:$N$11,MATCH(E$6,$L$5:$L$11,0))*IF($E$2="Depth (mm)",(1),IF($E$2="Intensity (mm/hr)",12,0))</f>
        <v>0.69990502409191457</v>
      </c>
      <c r="F211" s="24">
        <f>INDEX('IDF Distributions'!$A$1:$AB$290,MATCH('Bulk Tool'!$A211,'IDF Distributions'!$A$1:$A$290,0),MATCH('Bulk Tool'!F$5,'IDF Distributions'!$A$1:$AB$1,0))*INDEX($N$5:$N$11,MATCH(F$6,$L$5:$L$11,0))*IF($E$2="Depth (mm)",(1),IF($E$2="Intensity (mm/hr)",12,0))</f>
        <v>0.79486630195862307</v>
      </c>
      <c r="G211" s="24">
        <f>INDEX('IDF Distributions'!$A$1:$AB$290,MATCH('Bulk Tool'!$A211,'IDF Distributions'!$A$1:$A$290,0),MATCH('Bulk Tool'!G$5,'IDF Distributions'!$A$1:$AB$1,0))*INDEX($N$5:$N$11,MATCH(G$6,$L$5:$L$11,0))*IF($E$2="Depth (mm)",(1),IF($E$2="Intensity (mm/hr)",12,0))</f>
        <v>0.89527388277441577</v>
      </c>
      <c r="H211" s="24">
        <f>INDEX('IDF Distributions'!$A$1:$AB$290,MATCH('Bulk Tool'!$A211,'IDF Distributions'!$A$1:$A$290,0),MATCH('Bulk Tool'!H$5,'IDF Distributions'!$A$1:$AB$1,0))*INDEX($N$5:$N$11,MATCH(H$6,$L$5:$L$11,0))*IF($E$2="Depth (mm)",(1),IF($E$2="Intensity (mm/hr)",12,0))</f>
        <v>1.0026533229525194</v>
      </c>
      <c r="I211" s="12" t="str">
        <f>IF(COUNTIF($H$7:H211,$H$7)&gt;1,"Do Not Copy","Copy")</f>
        <v>Copy</v>
      </c>
      <c r="L211"/>
      <c r="M211" s="2"/>
    </row>
    <row r="212" spans="1:13" x14ac:dyDescent="0.25">
      <c r="A212" s="128">
        <f t="shared" si="6"/>
        <v>0.71180555555555358</v>
      </c>
      <c r="B212" s="24">
        <f>INDEX('IDF Distributions'!$A$1:$AB$290,MATCH('Bulk Tool'!$A212,'IDF Distributions'!$A$1:$A$290,0),MATCH('Bulk Tool'!B$5,'IDF Distributions'!$A$1:$AB$1,0))*INDEX($N$5:$N$11,MATCH(B$6,$L$5:$L$11,0))*IF($E$2="Depth (mm)",(1),IF($E$2="Intensity (mm/hr)",12,0))</f>
        <v>0.35920271893288741</v>
      </c>
      <c r="C212" s="24">
        <f>INDEX('IDF Distributions'!$A$1:$AB$290,MATCH('Bulk Tool'!$A212,'IDF Distributions'!$A$1:$A$290,0),MATCH('Bulk Tool'!C$5,'IDF Distributions'!$A$1:$AB$1,0))*INDEX($N$5:$N$11,MATCH(C$6,$L$5:$L$11,0))*IF($E$2="Depth (mm)",(1),IF($E$2="Intensity (mm/hr)",12,0))</f>
        <v>0.47898407993417613</v>
      </c>
      <c r="D212" s="24">
        <f>INDEX('IDF Distributions'!$A$1:$AB$290,MATCH('Bulk Tool'!$A212,'IDF Distributions'!$A$1:$A$290,0),MATCH('Bulk Tool'!D$5,'IDF Distributions'!$A$1:$AB$1,0))*INDEX($N$5:$N$11,MATCH(D$6,$L$5:$L$11,0))*IF($E$2="Depth (mm)",(1),IF($E$2="Intensity (mm/hr)",12,0))</f>
        <v>0.56403120829387154</v>
      </c>
      <c r="E212" s="24">
        <f>INDEX('IDF Distributions'!$A$1:$AB$290,MATCH('Bulk Tool'!$A212,'IDF Distributions'!$A$1:$A$290,0),MATCH('Bulk Tool'!E$5,'IDF Distributions'!$A$1:$AB$1,0))*INDEX($N$5:$N$11,MATCH(E$6,$L$5:$L$11,0))*IF($E$2="Depth (mm)",(1),IF($E$2="Intensity (mm/hr)",12,0))</f>
        <v>0.68111562747199916</v>
      </c>
      <c r="F212" s="24">
        <f>INDEX('IDF Distributions'!$A$1:$AB$290,MATCH('Bulk Tool'!$A212,'IDF Distributions'!$A$1:$A$290,0),MATCH('Bulk Tool'!F$5,'IDF Distributions'!$A$1:$AB$1,0))*INDEX($N$5:$N$11,MATCH(F$6,$L$5:$L$11,0))*IF($E$2="Depth (mm)",(1),IF($E$2="Intensity (mm/hr)",12,0))</f>
        <v>0.77352760928859499</v>
      </c>
      <c r="G212" s="24">
        <f>INDEX('IDF Distributions'!$A$1:$AB$290,MATCH('Bulk Tool'!$A212,'IDF Distributions'!$A$1:$A$290,0),MATCH('Bulk Tool'!G$5,'IDF Distributions'!$A$1:$AB$1,0))*INDEX($N$5:$N$11,MATCH(G$6,$L$5:$L$11,0))*IF($E$2="Depth (mm)",(1),IF($E$2="Intensity (mm/hr)",12,0))</f>
        <v>0.8712396845791317</v>
      </c>
      <c r="H212" s="24">
        <f>INDEX('IDF Distributions'!$A$1:$AB$290,MATCH('Bulk Tool'!$A212,'IDF Distributions'!$A$1:$A$290,0),MATCH('Bulk Tool'!H$5,'IDF Distributions'!$A$1:$AB$1,0))*INDEX($N$5:$N$11,MATCH(H$6,$L$5:$L$11,0))*IF($E$2="Depth (mm)",(1),IF($E$2="Intensity (mm/hr)",12,0))</f>
        <v>0.97573645522225272</v>
      </c>
      <c r="I212" s="12" t="str">
        <f>IF(COUNTIF($H$7:H212,$H$7)&gt;1,"Do Not Copy","Copy")</f>
        <v>Copy</v>
      </c>
      <c r="L212"/>
      <c r="M212" s="2"/>
    </row>
    <row r="213" spans="1:13" x14ac:dyDescent="0.25">
      <c r="A213" s="128">
        <f t="shared" si="6"/>
        <v>0.71527777777777579</v>
      </c>
      <c r="B213" s="24">
        <f>INDEX('IDF Distributions'!$A$1:$AB$290,MATCH('Bulk Tool'!$A213,'IDF Distributions'!$A$1:$A$290,0),MATCH('Bulk Tool'!B$5,'IDF Distributions'!$A$1:$AB$1,0))*INDEX($N$5:$N$11,MATCH(B$6,$L$5:$L$11,0))*IF($E$2="Depth (mm)",(1),IF($E$2="Intensity (mm/hr)",12,0))</f>
        <v>0.35920271893288741</v>
      </c>
      <c r="C213" s="24">
        <f>INDEX('IDF Distributions'!$A$1:$AB$290,MATCH('Bulk Tool'!$A213,'IDF Distributions'!$A$1:$A$290,0),MATCH('Bulk Tool'!C$5,'IDF Distributions'!$A$1:$AB$1,0))*INDEX($N$5:$N$11,MATCH(C$6,$L$5:$L$11,0))*IF($E$2="Depth (mm)",(1),IF($E$2="Intensity (mm/hr)",12,0))</f>
        <v>0.47898407993417613</v>
      </c>
      <c r="D213" s="24">
        <f>INDEX('IDF Distributions'!$A$1:$AB$290,MATCH('Bulk Tool'!$A213,'IDF Distributions'!$A$1:$A$290,0),MATCH('Bulk Tool'!D$5,'IDF Distributions'!$A$1:$AB$1,0))*INDEX($N$5:$N$11,MATCH(D$6,$L$5:$L$11,0))*IF($E$2="Depth (mm)",(1),IF($E$2="Intensity (mm/hr)",12,0))</f>
        <v>0.56403120829387154</v>
      </c>
      <c r="E213" s="24">
        <f>INDEX('IDF Distributions'!$A$1:$AB$290,MATCH('Bulk Tool'!$A213,'IDF Distributions'!$A$1:$A$290,0),MATCH('Bulk Tool'!E$5,'IDF Distributions'!$A$1:$AB$1,0))*INDEX($N$5:$N$11,MATCH(E$6,$L$5:$L$11,0))*IF($E$2="Depth (mm)",(1),IF($E$2="Intensity (mm/hr)",12,0))</f>
        <v>0.68111562747199916</v>
      </c>
      <c r="F213" s="24">
        <f>INDEX('IDF Distributions'!$A$1:$AB$290,MATCH('Bulk Tool'!$A213,'IDF Distributions'!$A$1:$A$290,0),MATCH('Bulk Tool'!F$5,'IDF Distributions'!$A$1:$AB$1,0))*INDEX($N$5:$N$11,MATCH(F$6,$L$5:$L$11,0))*IF($E$2="Depth (mm)",(1),IF($E$2="Intensity (mm/hr)",12,0))</f>
        <v>0.77352760928859499</v>
      </c>
      <c r="G213" s="24">
        <f>INDEX('IDF Distributions'!$A$1:$AB$290,MATCH('Bulk Tool'!$A213,'IDF Distributions'!$A$1:$A$290,0),MATCH('Bulk Tool'!G$5,'IDF Distributions'!$A$1:$AB$1,0))*INDEX($N$5:$N$11,MATCH(G$6,$L$5:$L$11,0))*IF($E$2="Depth (mm)",(1),IF($E$2="Intensity (mm/hr)",12,0))</f>
        <v>0.8712396845791317</v>
      </c>
      <c r="H213" s="24">
        <f>INDEX('IDF Distributions'!$A$1:$AB$290,MATCH('Bulk Tool'!$A213,'IDF Distributions'!$A$1:$A$290,0),MATCH('Bulk Tool'!H$5,'IDF Distributions'!$A$1:$AB$1,0))*INDEX($N$5:$N$11,MATCH(H$6,$L$5:$L$11,0))*IF($E$2="Depth (mm)",(1),IF($E$2="Intensity (mm/hr)",12,0))</f>
        <v>0.97573645522225272</v>
      </c>
      <c r="I213" s="12" t="str">
        <f>IF(COUNTIF($H$7:H213,$H$7)&gt;1,"Do Not Copy","Copy")</f>
        <v>Copy</v>
      </c>
      <c r="L213"/>
      <c r="M213" s="2"/>
    </row>
    <row r="214" spans="1:13" x14ac:dyDescent="0.25">
      <c r="A214" s="128">
        <f t="shared" si="6"/>
        <v>0.718749999999998</v>
      </c>
      <c r="B214" s="24">
        <f>INDEX('IDF Distributions'!$A$1:$AB$290,MATCH('Bulk Tool'!$A214,'IDF Distributions'!$A$1:$A$290,0),MATCH('Bulk Tool'!B$5,'IDF Distributions'!$A$1:$AB$1,0))*INDEX($N$5:$N$11,MATCH(B$6,$L$5:$L$11,0))*IF($E$2="Depth (mm)",(1),IF($E$2="Intensity (mm/hr)",12,0))</f>
        <v>0.35920271893290395</v>
      </c>
      <c r="C214" s="24">
        <f>INDEX('IDF Distributions'!$A$1:$AB$290,MATCH('Bulk Tool'!$A214,'IDF Distributions'!$A$1:$A$290,0),MATCH('Bulk Tool'!C$5,'IDF Distributions'!$A$1:$AB$1,0))*INDEX($N$5:$N$11,MATCH(C$6,$L$5:$L$11,0))*IF($E$2="Depth (mm)",(1),IF($E$2="Intensity (mm/hr)",12,0))</f>
        <v>0.47898407993419811</v>
      </c>
      <c r="D214" s="24">
        <f>INDEX('IDF Distributions'!$A$1:$AB$290,MATCH('Bulk Tool'!$A214,'IDF Distributions'!$A$1:$A$290,0),MATCH('Bulk Tool'!D$5,'IDF Distributions'!$A$1:$AB$1,0))*INDEX($N$5:$N$11,MATCH(D$6,$L$5:$L$11,0))*IF($E$2="Depth (mm)",(1),IF($E$2="Intensity (mm/hr)",12,0))</f>
        <v>0.56403120829389741</v>
      </c>
      <c r="E214" s="24">
        <f>INDEX('IDF Distributions'!$A$1:$AB$290,MATCH('Bulk Tool'!$A214,'IDF Distributions'!$A$1:$A$290,0),MATCH('Bulk Tool'!E$5,'IDF Distributions'!$A$1:$AB$1,0))*INDEX($N$5:$N$11,MATCH(E$6,$L$5:$L$11,0))*IF($E$2="Depth (mm)",(1),IF($E$2="Intensity (mm/hr)",12,0))</f>
        <v>0.68111562747203036</v>
      </c>
      <c r="F214" s="24">
        <f>INDEX('IDF Distributions'!$A$1:$AB$290,MATCH('Bulk Tool'!$A214,'IDF Distributions'!$A$1:$A$290,0),MATCH('Bulk Tool'!F$5,'IDF Distributions'!$A$1:$AB$1,0))*INDEX($N$5:$N$11,MATCH(F$6,$L$5:$L$11,0))*IF($E$2="Depth (mm)",(1),IF($E$2="Intensity (mm/hr)",12,0))</f>
        <v>0.7735276092886304</v>
      </c>
      <c r="G214" s="24">
        <f>INDEX('IDF Distributions'!$A$1:$AB$290,MATCH('Bulk Tool'!$A214,'IDF Distributions'!$A$1:$A$290,0),MATCH('Bulk Tool'!G$5,'IDF Distributions'!$A$1:$AB$1,0))*INDEX($N$5:$N$11,MATCH(G$6,$L$5:$L$11,0))*IF($E$2="Depth (mm)",(1),IF($E$2="Intensity (mm/hr)",12,0))</f>
        <v>0.87123968457917167</v>
      </c>
      <c r="H214" s="24">
        <f>INDEX('IDF Distributions'!$A$1:$AB$290,MATCH('Bulk Tool'!$A214,'IDF Distributions'!$A$1:$A$290,0),MATCH('Bulk Tool'!H$5,'IDF Distributions'!$A$1:$AB$1,0))*INDEX($N$5:$N$11,MATCH(H$6,$L$5:$L$11,0))*IF($E$2="Depth (mm)",(1),IF($E$2="Intensity (mm/hr)",12,0))</f>
        <v>0.97573645522229757</v>
      </c>
      <c r="I214" s="12" t="str">
        <f>IF(COUNTIF($H$7:H214,$H$7)&gt;1,"Do Not Copy","Copy")</f>
        <v>Copy</v>
      </c>
      <c r="L214"/>
      <c r="M214" s="2"/>
    </row>
    <row r="215" spans="1:13" x14ac:dyDescent="0.25">
      <c r="A215" s="128">
        <f t="shared" si="6"/>
        <v>0.72222222222222021</v>
      </c>
      <c r="B215" s="24">
        <f>INDEX('IDF Distributions'!$A$1:$AB$290,MATCH('Bulk Tool'!$A215,'IDF Distributions'!$A$1:$A$290,0),MATCH('Bulk Tool'!B$5,'IDF Distributions'!$A$1:$AB$1,0))*INDEX($N$5:$N$11,MATCH(B$6,$L$5:$L$11,0))*IF($E$2="Depth (mm)",(1),IF($E$2="Intensity (mm/hr)",12,0))</f>
        <v>0.35920271893290395</v>
      </c>
      <c r="C215" s="24">
        <f>INDEX('IDF Distributions'!$A$1:$AB$290,MATCH('Bulk Tool'!$A215,'IDF Distributions'!$A$1:$A$290,0),MATCH('Bulk Tool'!C$5,'IDF Distributions'!$A$1:$AB$1,0))*INDEX($N$5:$N$11,MATCH(C$6,$L$5:$L$11,0))*IF($E$2="Depth (mm)",(1),IF($E$2="Intensity (mm/hr)",12,0))</f>
        <v>0.47898407993419811</v>
      </c>
      <c r="D215" s="24">
        <f>INDEX('IDF Distributions'!$A$1:$AB$290,MATCH('Bulk Tool'!$A215,'IDF Distributions'!$A$1:$A$290,0),MATCH('Bulk Tool'!D$5,'IDF Distributions'!$A$1:$AB$1,0))*INDEX($N$5:$N$11,MATCH(D$6,$L$5:$L$11,0))*IF($E$2="Depth (mm)",(1),IF($E$2="Intensity (mm/hr)",12,0))</f>
        <v>0.56403120829389741</v>
      </c>
      <c r="E215" s="24">
        <f>INDEX('IDF Distributions'!$A$1:$AB$290,MATCH('Bulk Tool'!$A215,'IDF Distributions'!$A$1:$A$290,0),MATCH('Bulk Tool'!E$5,'IDF Distributions'!$A$1:$AB$1,0))*INDEX($N$5:$N$11,MATCH(E$6,$L$5:$L$11,0))*IF($E$2="Depth (mm)",(1),IF($E$2="Intensity (mm/hr)",12,0))</f>
        <v>0.68111562747203036</v>
      </c>
      <c r="F215" s="24">
        <f>INDEX('IDF Distributions'!$A$1:$AB$290,MATCH('Bulk Tool'!$A215,'IDF Distributions'!$A$1:$A$290,0),MATCH('Bulk Tool'!F$5,'IDF Distributions'!$A$1:$AB$1,0))*INDEX($N$5:$N$11,MATCH(F$6,$L$5:$L$11,0))*IF($E$2="Depth (mm)",(1),IF($E$2="Intensity (mm/hr)",12,0))</f>
        <v>0.7735276092886304</v>
      </c>
      <c r="G215" s="24">
        <f>INDEX('IDF Distributions'!$A$1:$AB$290,MATCH('Bulk Tool'!$A215,'IDF Distributions'!$A$1:$A$290,0),MATCH('Bulk Tool'!G$5,'IDF Distributions'!$A$1:$AB$1,0))*INDEX($N$5:$N$11,MATCH(G$6,$L$5:$L$11,0))*IF($E$2="Depth (mm)",(1),IF($E$2="Intensity (mm/hr)",12,0))</f>
        <v>0.87123968457917167</v>
      </c>
      <c r="H215" s="24">
        <f>INDEX('IDF Distributions'!$A$1:$AB$290,MATCH('Bulk Tool'!$A215,'IDF Distributions'!$A$1:$A$290,0),MATCH('Bulk Tool'!H$5,'IDF Distributions'!$A$1:$AB$1,0))*INDEX($N$5:$N$11,MATCH(H$6,$L$5:$L$11,0))*IF($E$2="Depth (mm)",(1),IF($E$2="Intensity (mm/hr)",12,0))</f>
        <v>0.97573645522229757</v>
      </c>
      <c r="I215" s="12" t="str">
        <f>IF(COUNTIF($H$7:H215,$H$7)&gt;1,"Do Not Copy","Copy")</f>
        <v>Copy</v>
      </c>
      <c r="L215"/>
      <c r="M215" s="2"/>
    </row>
    <row r="216" spans="1:13" x14ac:dyDescent="0.25">
      <c r="A216" s="128">
        <f t="shared" si="6"/>
        <v>0.72569444444444242</v>
      </c>
      <c r="B216" s="24">
        <f>INDEX('IDF Distributions'!$A$1:$AB$290,MATCH('Bulk Tool'!$A216,'IDF Distributions'!$A$1:$A$290,0),MATCH('Bulk Tool'!B$5,'IDF Distributions'!$A$1:$AB$1,0))*INDEX($N$5:$N$11,MATCH(B$6,$L$5:$L$11,0))*IF($E$2="Depth (mm)",(1),IF($E$2="Intensity (mm/hr)",12,0))</f>
        <v>0.35920271893288741</v>
      </c>
      <c r="C216" s="24">
        <f>INDEX('IDF Distributions'!$A$1:$AB$290,MATCH('Bulk Tool'!$A216,'IDF Distributions'!$A$1:$A$290,0),MATCH('Bulk Tool'!C$5,'IDF Distributions'!$A$1:$AB$1,0))*INDEX($N$5:$N$11,MATCH(C$6,$L$5:$L$11,0))*IF($E$2="Depth (mm)",(1),IF($E$2="Intensity (mm/hr)",12,0))</f>
        <v>0.47898407993417613</v>
      </c>
      <c r="D216" s="24">
        <f>INDEX('IDF Distributions'!$A$1:$AB$290,MATCH('Bulk Tool'!$A216,'IDF Distributions'!$A$1:$A$290,0),MATCH('Bulk Tool'!D$5,'IDF Distributions'!$A$1:$AB$1,0))*INDEX($N$5:$N$11,MATCH(D$6,$L$5:$L$11,0))*IF($E$2="Depth (mm)",(1),IF($E$2="Intensity (mm/hr)",12,0))</f>
        <v>0.56403120829387154</v>
      </c>
      <c r="E216" s="24">
        <f>INDEX('IDF Distributions'!$A$1:$AB$290,MATCH('Bulk Tool'!$A216,'IDF Distributions'!$A$1:$A$290,0),MATCH('Bulk Tool'!E$5,'IDF Distributions'!$A$1:$AB$1,0))*INDEX($N$5:$N$11,MATCH(E$6,$L$5:$L$11,0))*IF($E$2="Depth (mm)",(1),IF($E$2="Intensity (mm/hr)",12,0))</f>
        <v>0.68111562747199916</v>
      </c>
      <c r="F216" s="24">
        <f>INDEX('IDF Distributions'!$A$1:$AB$290,MATCH('Bulk Tool'!$A216,'IDF Distributions'!$A$1:$A$290,0),MATCH('Bulk Tool'!F$5,'IDF Distributions'!$A$1:$AB$1,0))*INDEX($N$5:$N$11,MATCH(F$6,$L$5:$L$11,0))*IF($E$2="Depth (mm)",(1),IF($E$2="Intensity (mm/hr)",12,0))</f>
        <v>0.77352760928859499</v>
      </c>
      <c r="G216" s="24">
        <f>INDEX('IDF Distributions'!$A$1:$AB$290,MATCH('Bulk Tool'!$A216,'IDF Distributions'!$A$1:$A$290,0),MATCH('Bulk Tool'!G$5,'IDF Distributions'!$A$1:$AB$1,0))*INDEX($N$5:$N$11,MATCH(G$6,$L$5:$L$11,0))*IF($E$2="Depth (mm)",(1),IF($E$2="Intensity (mm/hr)",12,0))</f>
        <v>0.8712396845791317</v>
      </c>
      <c r="H216" s="24">
        <f>INDEX('IDF Distributions'!$A$1:$AB$290,MATCH('Bulk Tool'!$A216,'IDF Distributions'!$A$1:$A$290,0),MATCH('Bulk Tool'!H$5,'IDF Distributions'!$A$1:$AB$1,0))*INDEX($N$5:$N$11,MATCH(H$6,$L$5:$L$11,0))*IF($E$2="Depth (mm)",(1),IF($E$2="Intensity (mm/hr)",12,0))</f>
        <v>0.97573645522225272</v>
      </c>
      <c r="I216" s="12" t="str">
        <f>IF(COUNTIF($H$7:H216,$H$7)&gt;1,"Do Not Copy","Copy")</f>
        <v>Copy</v>
      </c>
      <c r="L216"/>
      <c r="M216" s="2"/>
    </row>
    <row r="217" spans="1:13" x14ac:dyDescent="0.25">
      <c r="A217" s="128">
        <f t="shared" si="6"/>
        <v>0.72916666666666463</v>
      </c>
      <c r="B217" s="24">
        <f>INDEX('IDF Distributions'!$A$1:$AB$290,MATCH('Bulk Tool'!$A217,'IDF Distributions'!$A$1:$A$290,0),MATCH('Bulk Tool'!B$5,'IDF Distributions'!$A$1:$AB$1,0))*INDEX($N$5:$N$11,MATCH(B$6,$L$5:$L$11,0))*IF($E$2="Depth (mm)",(1),IF($E$2="Intensity (mm/hr)",12,0))</f>
        <v>0.35920271893288741</v>
      </c>
      <c r="C217" s="24">
        <f>INDEX('IDF Distributions'!$A$1:$AB$290,MATCH('Bulk Tool'!$A217,'IDF Distributions'!$A$1:$A$290,0),MATCH('Bulk Tool'!C$5,'IDF Distributions'!$A$1:$AB$1,0))*INDEX($N$5:$N$11,MATCH(C$6,$L$5:$L$11,0))*IF($E$2="Depth (mm)",(1),IF($E$2="Intensity (mm/hr)",12,0))</f>
        <v>0.47898407993417613</v>
      </c>
      <c r="D217" s="24">
        <f>INDEX('IDF Distributions'!$A$1:$AB$290,MATCH('Bulk Tool'!$A217,'IDF Distributions'!$A$1:$A$290,0),MATCH('Bulk Tool'!D$5,'IDF Distributions'!$A$1:$AB$1,0))*INDEX($N$5:$N$11,MATCH(D$6,$L$5:$L$11,0))*IF($E$2="Depth (mm)",(1),IF($E$2="Intensity (mm/hr)",12,0))</f>
        <v>0.56403120829387154</v>
      </c>
      <c r="E217" s="24">
        <f>INDEX('IDF Distributions'!$A$1:$AB$290,MATCH('Bulk Tool'!$A217,'IDF Distributions'!$A$1:$A$290,0),MATCH('Bulk Tool'!E$5,'IDF Distributions'!$A$1:$AB$1,0))*INDEX($N$5:$N$11,MATCH(E$6,$L$5:$L$11,0))*IF($E$2="Depth (mm)",(1),IF($E$2="Intensity (mm/hr)",12,0))</f>
        <v>0.68111562747199916</v>
      </c>
      <c r="F217" s="24">
        <f>INDEX('IDF Distributions'!$A$1:$AB$290,MATCH('Bulk Tool'!$A217,'IDF Distributions'!$A$1:$A$290,0),MATCH('Bulk Tool'!F$5,'IDF Distributions'!$A$1:$AB$1,0))*INDEX($N$5:$N$11,MATCH(F$6,$L$5:$L$11,0))*IF($E$2="Depth (mm)",(1),IF($E$2="Intensity (mm/hr)",12,0))</f>
        <v>0.77352760928859499</v>
      </c>
      <c r="G217" s="24">
        <f>INDEX('IDF Distributions'!$A$1:$AB$290,MATCH('Bulk Tool'!$A217,'IDF Distributions'!$A$1:$A$290,0),MATCH('Bulk Tool'!G$5,'IDF Distributions'!$A$1:$AB$1,0))*INDEX($N$5:$N$11,MATCH(G$6,$L$5:$L$11,0))*IF($E$2="Depth (mm)",(1),IF($E$2="Intensity (mm/hr)",12,0))</f>
        <v>0.8712396845791317</v>
      </c>
      <c r="H217" s="24">
        <f>INDEX('IDF Distributions'!$A$1:$AB$290,MATCH('Bulk Tool'!$A217,'IDF Distributions'!$A$1:$A$290,0),MATCH('Bulk Tool'!H$5,'IDF Distributions'!$A$1:$AB$1,0))*INDEX($N$5:$N$11,MATCH(H$6,$L$5:$L$11,0))*IF($E$2="Depth (mm)",(1),IF($E$2="Intensity (mm/hr)",12,0))</f>
        <v>0.97573645522225272</v>
      </c>
      <c r="I217" s="12" t="str">
        <f>IF(COUNTIF($H$7:H217,$H$7)&gt;1,"Do Not Copy","Copy")</f>
        <v>Copy</v>
      </c>
      <c r="L217"/>
      <c r="M217" s="2"/>
    </row>
    <row r="218" spans="1:13" x14ac:dyDescent="0.25">
      <c r="A218" s="128">
        <f t="shared" si="6"/>
        <v>0.73263888888888684</v>
      </c>
      <c r="B218" s="24">
        <f>INDEX('IDF Distributions'!$A$1:$AB$290,MATCH('Bulk Tool'!$A218,'IDF Distributions'!$A$1:$A$290,0),MATCH('Bulk Tool'!B$5,'IDF Distributions'!$A$1:$AB$1,0))*INDEX($N$5:$N$11,MATCH(B$6,$L$5:$L$11,0))*IF($E$2="Depth (mm)",(1),IF($E$2="Intensity (mm/hr)",12,0))</f>
        <v>0.35920271893290395</v>
      </c>
      <c r="C218" s="24">
        <f>INDEX('IDF Distributions'!$A$1:$AB$290,MATCH('Bulk Tool'!$A218,'IDF Distributions'!$A$1:$A$290,0),MATCH('Bulk Tool'!C$5,'IDF Distributions'!$A$1:$AB$1,0))*INDEX($N$5:$N$11,MATCH(C$6,$L$5:$L$11,0))*IF($E$2="Depth (mm)",(1),IF($E$2="Intensity (mm/hr)",12,0))</f>
        <v>0.47898407993419811</v>
      </c>
      <c r="D218" s="24">
        <f>INDEX('IDF Distributions'!$A$1:$AB$290,MATCH('Bulk Tool'!$A218,'IDF Distributions'!$A$1:$A$290,0),MATCH('Bulk Tool'!D$5,'IDF Distributions'!$A$1:$AB$1,0))*INDEX($N$5:$N$11,MATCH(D$6,$L$5:$L$11,0))*IF($E$2="Depth (mm)",(1),IF($E$2="Intensity (mm/hr)",12,0))</f>
        <v>0.56403120829389741</v>
      </c>
      <c r="E218" s="24">
        <f>INDEX('IDF Distributions'!$A$1:$AB$290,MATCH('Bulk Tool'!$A218,'IDF Distributions'!$A$1:$A$290,0),MATCH('Bulk Tool'!E$5,'IDF Distributions'!$A$1:$AB$1,0))*INDEX($N$5:$N$11,MATCH(E$6,$L$5:$L$11,0))*IF($E$2="Depth (mm)",(1),IF($E$2="Intensity (mm/hr)",12,0))</f>
        <v>0.68111562747203036</v>
      </c>
      <c r="F218" s="24">
        <f>INDEX('IDF Distributions'!$A$1:$AB$290,MATCH('Bulk Tool'!$A218,'IDF Distributions'!$A$1:$A$290,0),MATCH('Bulk Tool'!F$5,'IDF Distributions'!$A$1:$AB$1,0))*INDEX($N$5:$N$11,MATCH(F$6,$L$5:$L$11,0))*IF($E$2="Depth (mm)",(1),IF($E$2="Intensity (mm/hr)",12,0))</f>
        <v>0.7735276092886304</v>
      </c>
      <c r="G218" s="24">
        <f>INDEX('IDF Distributions'!$A$1:$AB$290,MATCH('Bulk Tool'!$A218,'IDF Distributions'!$A$1:$A$290,0),MATCH('Bulk Tool'!G$5,'IDF Distributions'!$A$1:$AB$1,0))*INDEX($N$5:$N$11,MATCH(G$6,$L$5:$L$11,0))*IF($E$2="Depth (mm)",(1),IF($E$2="Intensity (mm/hr)",12,0))</f>
        <v>0.87123968457917167</v>
      </c>
      <c r="H218" s="24">
        <f>INDEX('IDF Distributions'!$A$1:$AB$290,MATCH('Bulk Tool'!$A218,'IDF Distributions'!$A$1:$A$290,0),MATCH('Bulk Tool'!H$5,'IDF Distributions'!$A$1:$AB$1,0))*INDEX($N$5:$N$11,MATCH(H$6,$L$5:$L$11,0))*IF($E$2="Depth (mm)",(1),IF($E$2="Intensity (mm/hr)",12,0))</f>
        <v>0.97573645522229757</v>
      </c>
      <c r="I218" s="12" t="str">
        <f>IF(COUNTIF($H$7:H218,$H$7)&gt;1,"Do Not Copy","Copy")</f>
        <v>Copy</v>
      </c>
      <c r="L218"/>
      <c r="M218" s="2"/>
    </row>
    <row r="219" spans="1:13" x14ac:dyDescent="0.25">
      <c r="A219" s="128">
        <f t="shared" si="6"/>
        <v>0.73611111111110905</v>
      </c>
      <c r="B219" s="24">
        <f>INDEX('IDF Distributions'!$A$1:$AB$290,MATCH('Bulk Tool'!$A219,'IDF Distributions'!$A$1:$A$290,0),MATCH('Bulk Tool'!B$5,'IDF Distributions'!$A$1:$AB$1,0))*INDEX($N$5:$N$11,MATCH(B$6,$L$5:$L$11,0))*IF($E$2="Depth (mm)",(1),IF($E$2="Intensity (mm/hr)",12,0))</f>
        <v>0.3468164182800304</v>
      </c>
      <c r="C219" s="24">
        <f>INDEX('IDF Distributions'!$A$1:$AB$290,MATCH('Bulk Tool'!$A219,'IDF Distributions'!$A$1:$A$290,0),MATCH('Bulk Tool'!C$5,'IDF Distributions'!$A$1:$AB$1,0))*INDEX($N$5:$N$11,MATCH(C$6,$L$5:$L$11,0))*IF($E$2="Depth (mm)",(1),IF($E$2="Intensity (mm/hr)",12,0))</f>
        <v>0.46246738752265437</v>
      </c>
      <c r="D219" s="24">
        <f>INDEX('IDF Distributions'!$A$1:$AB$290,MATCH('Bulk Tool'!$A219,'IDF Distributions'!$A$1:$A$290,0),MATCH('Bulk Tool'!D$5,'IDF Distributions'!$A$1:$AB$1,0))*INDEX($N$5:$N$11,MATCH(D$6,$L$5:$L$11,0))*IF($E$2="Depth (mm)",(1),IF($E$2="Intensity (mm/hr)",12,0))</f>
        <v>0.5445818562837399</v>
      </c>
      <c r="E219" s="24">
        <f>INDEX('IDF Distributions'!$A$1:$AB$290,MATCH('Bulk Tool'!$A219,'IDF Distributions'!$A$1:$A$290,0),MATCH('Bulk Tool'!E$5,'IDF Distributions'!$A$1:$AB$1,0))*INDEX($N$5:$N$11,MATCH(E$6,$L$5:$L$11,0))*IF($E$2="Depth (mm)",(1),IF($E$2="Intensity (mm/hr)",12,0))</f>
        <v>0.65762888169710476</v>
      </c>
      <c r="F219" s="24">
        <f>INDEX('IDF Distributions'!$A$1:$AB$290,MATCH('Bulk Tool'!$A219,'IDF Distributions'!$A$1:$A$290,0),MATCH('Bulk Tool'!F$5,'IDF Distributions'!$A$1:$AB$1,0))*INDEX($N$5:$N$11,MATCH(F$6,$L$5:$L$11,0))*IF($E$2="Depth (mm)",(1),IF($E$2="Intensity (mm/hr)",12,0))</f>
        <v>0.74685424345105955</v>
      </c>
      <c r="G219" s="24">
        <f>INDEX('IDF Distributions'!$A$1:$AB$290,MATCH('Bulk Tool'!$A219,'IDF Distributions'!$A$1:$A$290,0),MATCH('Bulk Tool'!G$5,'IDF Distributions'!$A$1:$AB$1,0))*INDEX($N$5:$N$11,MATCH(G$6,$L$5:$L$11,0))*IF($E$2="Depth (mm)",(1),IF($E$2="Intensity (mm/hr)",12,0))</f>
        <v>0.8411969368350265</v>
      </c>
      <c r="H219" s="24">
        <f>INDEX('IDF Distributions'!$A$1:$AB$290,MATCH('Bulk Tool'!$A219,'IDF Distributions'!$A$1:$A$290,0),MATCH('Bulk Tool'!H$5,'IDF Distributions'!$A$1:$AB$1,0))*INDEX($N$5:$N$11,MATCH(H$6,$L$5:$L$11,0))*IF($E$2="Depth (mm)",(1),IF($E$2="Intensity (mm/hr)",12,0))</f>
        <v>0.94209037055941947</v>
      </c>
      <c r="I219" s="12" t="str">
        <f>IF(COUNTIF($H$7:H219,$H$7)&gt;1,"Do Not Copy","Copy")</f>
        <v>Copy</v>
      </c>
      <c r="L219"/>
      <c r="M219" s="2"/>
    </row>
    <row r="220" spans="1:13" x14ac:dyDescent="0.25">
      <c r="A220" s="128">
        <f t="shared" si="6"/>
        <v>0.73958333333333126</v>
      </c>
      <c r="B220" s="24">
        <f>INDEX('IDF Distributions'!$A$1:$AB$290,MATCH('Bulk Tool'!$A220,'IDF Distributions'!$A$1:$A$290,0),MATCH('Bulk Tool'!B$5,'IDF Distributions'!$A$1:$AB$1,0))*INDEX($N$5:$N$11,MATCH(B$6,$L$5:$L$11,0))*IF($E$2="Depth (mm)",(1),IF($E$2="Intensity (mm/hr)",12,0))</f>
        <v>0.3468164182800304</v>
      </c>
      <c r="C220" s="24">
        <f>INDEX('IDF Distributions'!$A$1:$AB$290,MATCH('Bulk Tool'!$A220,'IDF Distributions'!$A$1:$A$290,0),MATCH('Bulk Tool'!C$5,'IDF Distributions'!$A$1:$AB$1,0))*INDEX($N$5:$N$11,MATCH(C$6,$L$5:$L$11,0))*IF($E$2="Depth (mm)",(1),IF($E$2="Intensity (mm/hr)",12,0))</f>
        <v>0.46246738752265437</v>
      </c>
      <c r="D220" s="24">
        <f>INDEX('IDF Distributions'!$A$1:$AB$290,MATCH('Bulk Tool'!$A220,'IDF Distributions'!$A$1:$A$290,0),MATCH('Bulk Tool'!D$5,'IDF Distributions'!$A$1:$AB$1,0))*INDEX($N$5:$N$11,MATCH(D$6,$L$5:$L$11,0))*IF($E$2="Depth (mm)",(1),IF($E$2="Intensity (mm/hr)",12,0))</f>
        <v>0.5445818562837399</v>
      </c>
      <c r="E220" s="24">
        <f>INDEX('IDF Distributions'!$A$1:$AB$290,MATCH('Bulk Tool'!$A220,'IDF Distributions'!$A$1:$A$290,0),MATCH('Bulk Tool'!E$5,'IDF Distributions'!$A$1:$AB$1,0))*INDEX($N$5:$N$11,MATCH(E$6,$L$5:$L$11,0))*IF($E$2="Depth (mm)",(1),IF($E$2="Intensity (mm/hr)",12,0))</f>
        <v>0.65762888169710476</v>
      </c>
      <c r="F220" s="24">
        <f>INDEX('IDF Distributions'!$A$1:$AB$290,MATCH('Bulk Tool'!$A220,'IDF Distributions'!$A$1:$A$290,0),MATCH('Bulk Tool'!F$5,'IDF Distributions'!$A$1:$AB$1,0))*INDEX($N$5:$N$11,MATCH(F$6,$L$5:$L$11,0))*IF($E$2="Depth (mm)",(1),IF($E$2="Intensity (mm/hr)",12,0))</f>
        <v>0.74685424345105955</v>
      </c>
      <c r="G220" s="24">
        <f>INDEX('IDF Distributions'!$A$1:$AB$290,MATCH('Bulk Tool'!$A220,'IDF Distributions'!$A$1:$A$290,0),MATCH('Bulk Tool'!G$5,'IDF Distributions'!$A$1:$AB$1,0))*INDEX($N$5:$N$11,MATCH(G$6,$L$5:$L$11,0))*IF($E$2="Depth (mm)",(1),IF($E$2="Intensity (mm/hr)",12,0))</f>
        <v>0.8411969368350265</v>
      </c>
      <c r="H220" s="24">
        <f>INDEX('IDF Distributions'!$A$1:$AB$290,MATCH('Bulk Tool'!$A220,'IDF Distributions'!$A$1:$A$290,0),MATCH('Bulk Tool'!H$5,'IDF Distributions'!$A$1:$AB$1,0))*INDEX($N$5:$N$11,MATCH(H$6,$L$5:$L$11,0))*IF($E$2="Depth (mm)",(1),IF($E$2="Intensity (mm/hr)",12,0))</f>
        <v>0.94209037055941947</v>
      </c>
      <c r="I220" s="12" t="str">
        <f>IF(COUNTIF($H$7:H220,$H$7)&gt;1,"Do Not Copy","Copy")</f>
        <v>Copy</v>
      </c>
      <c r="L220"/>
      <c r="M220" s="2"/>
    </row>
    <row r="221" spans="1:13" x14ac:dyDescent="0.25">
      <c r="A221" s="128">
        <f t="shared" si="6"/>
        <v>0.74305555555555347</v>
      </c>
      <c r="B221" s="24">
        <f>INDEX('IDF Distributions'!$A$1:$AB$290,MATCH('Bulk Tool'!$A221,'IDF Distributions'!$A$1:$A$290,0),MATCH('Bulk Tool'!B$5,'IDF Distributions'!$A$1:$AB$1,0))*INDEX($N$5:$N$11,MATCH(B$6,$L$5:$L$11,0))*IF($E$2="Depth (mm)",(1),IF($E$2="Intensity (mm/hr)",12,0))</f>
        <v>0.3468164182800304</v>
      </c>
      <c r="C221" s="24">
        <f>INDEX('IDF Distributions'!$A$1:$AB$290,MATCH('Bulk Tool'!$A221,'IDF Distributions'!$A$1:$A$290,0),MATCH('Bulk Tool'!C$5,'IDF Distributions'!$A$1:$AB$1,0))*INDEX($N$5:$N$11,MATCH(C$6,$L$5:$L$11,0))*IF($E$2="Depth (mm)",(1),IF($E$2="Intensity (mm/hr)",12,0))</f>
        <v>0.46246738752265437</v>
      </c>
      <c r="D221" s="24">
        <f>INDEX('IDF Distributions'!$A$1:$AB$290,MATCH('Bulk Tool'!$A221,'IDF Distributions'!$A$1:$A$290,0),MATCH('Bulk Tool'!D$5,'IDF Distributions'!$A$1:$AB$1,0))*INDEX($N$5:$N$11,MATCH(D$6,$L$5:$L$11,0))*IF($E$2="Depth (mm)",(1),IF($E$2="Intensity (mm/hr)",12,0))</f>
        <v>0.5445818562837399</v>
      </c>
      <c r="E221" s="24">
        <f>INDEX('IDF Distributions'!$A$1:$AB$290,MATCH('Bulk Tool'!$A221,'IDF Distributions'!$A$1:$A$290,0),MATCH('Bulk Tool'!E$5,'IDF Distributions'!$A$1:$AB$1,0))*INDEX($N$5:$N$11,MATCH(E$6,$L$5:$L$11,0))*IF($E$2="Depth (mm)",(1),IF($E$2="Intensity (mm/hr)",12,0))</f>
        <v>0.65762888169710476</v>
      </c>
      <c r="F221" s="24">
        <f>INDEX('IDF Distributions'!$A$1:$AB$290,MATCH('Bulk Tool'!$A221,'IDF Distributions'!$A$1:$A$290,0),MATCH('Bulk Tool'!F$5,'IDF Distributions'!$A$1:$AB$1,0))*INDEX($N$5:$N$11,MATCH(F$6,$L$5:$L$11,0))*IF($E$2="Depth (mm)",(1),IF($E$2="Intensity (mm/hr)",12,0))</f>
        <v>0.74685424345105955</v>
      </c>
      <c r="G221" s="24">
        <f>INDEX('IDF Distributions'!$A$1:$AB$290,MATCH('Bulk Tool'!$A221,'IDF Distributions'!$A$1:$A$290,0),MATCH('Bulk Tool'!G$5,'IDF Distributions'!$A$1:$AB$1,0))*INDEX($N$5:$N$11,MATCH(G$6,$L$5:$L$11,0))*IF($E$2="Depth (mm)",(1),IF($E$2="Intensity (mm/hr)",12,0))</f>
        <v>0.8411969368350265</v>
      </c>
      <c r="H221" s="24">
        <f>INDEX('IDF Distributions'!$A$1:$AB$290,MATCH('Bulk Tool'!$A221,'IDF Distributions'!$A$1:$A$290,0),MATCH('Bulk Tool'!H$5,'IDF Distributions'!$A$1:$AB$1,0))*INDEX($N$5:$N$11,MATCH(H$6,$L$5:$L$11,0))*IF($E$2="Depth (mm)",(1),IF($E$2="Intensity (mm/hr)",12,0))</f>
        <v>0.94209037055941947</v>
      </c>
      <c r="I221" s="12" t="str">
        <f>IF(COUNTIF($H$7:H221,$H$7)&gt;1,"Do Not Copy","Copy")</f>
        <v>Copy</v>
      </c>
      <c r="L221"/>
      <c r="M221" s="2"/>
    </row>
    <row r="222" spans="1:13" x14ac:dyDescent="0.25">
      <c r="A222" s="128">
        <f t="shared" si="6"/>
        <v>0.74652777777777568</v>
      </c>
      <c r="B222" s="24">
        <f>INDEX('IDF Distributions'!$A$1:$AB$290,MATCH('Bulk Tool'!$A222,'IDF Distributions'!$A$1:$A$290,0),MATCH('Bulk Tool'!B$5,'IDF Distributions'!$A$1:$AB$1,0))*INDEX($N$5:$N$11,MATCH(B$6,$L$5:$L$11,0))*IF($E$2="Depth (mm)",(1),IF($E$2="Intensity (mm/hr)",12,0))</f>
        <v>0.34681641828004683</v>
      </c>
      <c r="C222" s="24">
        <f>INDEX('IDF Distributions'!$A$1:$AB$290,MATCH('Bulk Tool'!$A222,'IDF Distributions'!$A$1:$A$290,0),MATCH('Bulk Tool'!C$5,'IDF Distributions'!$A$1:$AB$1,0))*INDEX($N$5:$N$11,MATCH(C$6,$L$5:$L$11,0))*IF($E$2="Depth (mm)",(1),IF($E$2="Intensity (mm/hr)",12,0))</f>
        <v>0.46246738752267635</v>
      </c>
      <c r="D222" s="24">
        <f>INDEX('IDF Distributions'!$A$1:$AB$290,MATCH('Bulk Tool'!$A222,'IDF Distributions'!$A$1:$A$290,0),MATCH('Bulk Tool'!D$5,'IDF Distributions'!$A$1:$AB$1,0))*INDEX($N$5:$N$11,MATCH(D$6,$L$5:$L$11,0))*IF($E$2="Depth (mm)",(1),IF($E$2="Intensity (mm/hr)",12,0))</f>
        <v>0.54458185628376576</v>
      </c>
      <c r="E222" s="24">
        <f>INDEX('IDF Distributions'!$A$1:$AB$290,MATCH('Bulk Tool'!$A222,'IDF Distributions'!$A$1:$A$290,0),MATCH('Bulk Tool'!E$5,'IDF Distributions'!$A$1:$AB$1,0))*INDEX($N$5:$N$11,MATCH(E$6,$L$5:$L$11,0))*IF($E$2="Depth (mm)",(1),IF($E$2="Intensity (mm/hr)",12,0))</f>
        <v>0.65762888169713596</v>
      </c>
      <c r="F222" s="24">
        <f>INDEX('IDF Distributions'!$A$1:$AB$290,MATCH('Bulk Tool'!$A222,'IDF Distributions'!$A$1:$A$290,0),MATCH('Bulk Tool'!F$5,'IDF Distributions'!$A$1:$AB$1,0))*INDEX($N$5:$N$11,MATCH(F$6,$L$5:$L$11,0))*IF($E$2="Depth (mm)",(1),IF($E$2="Intensity (mm/hr)",12,0))</f>
        <v>0.74685424345109508</v>
      </c>
      <c r="G222" s="24">
        <f>INDEX('IDF Distributions'!$A$1:$AB$290,MATCH('Bulk Tool'!$A222,'IDF Distributions'!$A$1:$A$290,0),MATCH('Bulk Tool'!G$5,'IDF Distributions'!$A$1:$AB$1,0))*INDEX($N$5:$N$11,MATCH(G$6,$L$5:$L$11,0))*IF($E$2="Depth (mm)",(1),IF($E$2="Intensity (mm/hr)",12,0))</f>
        <v>0.84119693683506647</v>
      </c>
      <c r="H222" s="24">
        <f>INDEX('IDF Distributions'!$A$1:$AB$290,MATCH('Bulk Tool'!$A222,'IDF Distributions'!$A$1:$A$290,0),MATCH('Bulk Tool'!H$5,'IDF Distributions'!$A$1:$AB$1,0))*INDEX($N$5:$N$11,MATCH(H$6,$L$5:$L$11,0))*IF($E$2="Depth (mm)",(1),IF($E$2="Intensity (mm/hr)",12,0))</f>
        <v>0.94209037055946421</v>
      </c>
      <c r="I222" s="12" t="str">
        <f>IF(COUNTIF($H$7:H222,$H$7)&gt;1,"Do Not Copy","Copy")</f>
        <v>Copy</v>
      </c>
      <c r="L222"/>
      <c r="M222" s="2"/>
    </row>
    <row r="223" spans="1:13" x14ac:dyDescent="0.25">
      <c r="A223" s="128">
        <f t="shared" si="6"/>
        <v>0.74999999999999789</v>
      </c>
      <c r="B223" s="24">
        <f>INDEX('IDF Distributions'!$A$1:$AB$290,MATCH('Bulk Tool'!$A223,'IDF Distributions'!$A$1:$A$290,0),MATCH('Bulk Tool'!B$5,'IDF Distributions'!$A$1:$AB$1,0))*INDEX($N$5:$N$11,MATCH(B$6,$L$5:$L$11,0))*IF($E$2="Depth (mm)",(1),IF($E$2="Intensity (mm/hr)",12,0))</f>
        <v>0.34681641828004683</v>
      </c>
      <c r="C223" s="24">
        <f>INDEX('IDF Distributions'!$A$1:$AB$290,MATCH('Bulk Tool'!$A223,'IDF Distributions'!$A$1:$A$290,0),MATCH('Bulk Tool'!C$5,'IDF Distributions'!$A$1:$AB$1,0))*INDEX($N$5:$N$11,MATCH(C$6,$L$5:$L$11,0))*IF($E$2="Depth (mm)",(1),IF($E$2="Intensity (mm/hr)",12,0))</f>
        <v>0.46246738752267635</v>
      </c>
      <c r="D223" s="24">
        <f>INDEX('IDF Distributions'!$A$1:$AB$290,MATCH('Bulk Tool'!$A223,'IDF Distributions'!$A$1:$A$290,0),MATCH('Bulk Tool'!D$5,'IDF Distributions'!$A$1:$AB$1,0))*INDEX($N$5:$N$11,MATCH(D$6,$L$5:$L$11,0))*IF($E$2="Depth (mm)",(1),IF($E$2="Intensity (mm/hr)",12,0))</f>
        <v>0.54458185628376576</v>
      </c>
      <c r="E223" s="24">
        <f>INDEX('IDF Distributions'!$A$1:$AB$290,MATCH('Bulk Tool'!$A223,'IDF Distributions'!$A$1:$A$290,0),MATCH('Bulk Tool'!E$5,'IDF Distributions'!$A$1:$AB$1,0))*INDEX($N$5:$N$11,MATCH(E$6,$L$5:$L$11,0))*IF($E$2="Depth (mm)",(1),IF($E$2="Intensity (mm/hr)",12,0))</f>
        <v>0.65762888169713596</v>
      </c>
      <c r="F223" s="24">
        <f>INDEX('IDF Distributions'!$A$1:$AB$290,MATCH('Bulk Tool'!$A223,'IDF Distributions'!$A$1:$A$290,0),MATCH('Bulk Tool'!F$5,'IDF Distributions'!$A$1:$AB$1,0))*INDEX($N$5:$N$11,MATCH(F$6,$L$5:$L$11,0))*IF($E$2="Depth (mm)",(1),IF($E$2="Intensity (mm/hr)",12,0))</f>
        <v>0.74685424345109508</v>
      </c>
      <c r="G223" s="24">
        <f>INDEX('IDF Distributions'!$A$1:$AB$290,MATCH('Bulk Tool'!$A223,'IDF Distributions'!$A$1:$A$290,0),MATCH('Bulk Tool'!G$5,'IDF Distributions'!$A$1:$AB$1,0))*INDEX($N$5:$N$11,MATCH(G$6,$L$5:$L$11,0))*IF($E$2="Depth (mm)",(1),IF($E$2="Intensity (mm/hr)",12,0))</f>
        <v>0.84119693683506647</v>
      </c>
      <c r="H223" s="24">
        <f>INDEX('IDF Distributions'!$A$1:$AB$290,MATCH('Bulk Tool'!$A223,'IDF Distributions'!$A$1:$A$290,0),MATCH('Bulk Tool'!H$5,'IDF Distributions'!$A$1:$AB$1,0))*INDEX($N$5:$N$11,MATCH(H$6,$L$5:$L$11,0))*IF($E$2="Depth (mm)",(1),IF($E$2="Intensity (mm/hr)",12,0))</f>
        <v>0.94209037055946421</v>
      </c>
      <c r="I223" s="12" t="str">
        <f>IF(COUNTIF($H$7:H223,$H$7)&gt;1,"Do Not Copy","Copy")</f>
        <v>Copy</v>
      </c>
      <c r="L223"/>
      <c r="M223" s="2"/>
    </row>
    <row r="224" spans="1:13" x14ac:dyDescent="0.25">
      <c r="A224" s="128">
        <f t="shared" si="6"/>
        <v>0.7534722222222201</v>
      </c>
      <c r="B224" s="24">
        <f>INDEX('IDF Distributions'!$A$1:$AB$290,MATCH('Bulk Tool'!$A224,'IDF Distributions'!$A$1:$A$290,0),MATCH('Bulk Tool'!B$5,'IDF Distributions'!$A$1:$AB$1,0))*INDEX($N$5:$N$11,MATCH(B$6,$L$5:$L$11,0))*IF($E$2="Depth (mm)",(1),IF($E$2="Intensity (mm/hr)",12,0))</f>
        <v>0.3468164182800304</v>
      </c>
      <c r="C224" s="24">
        <f>INDEX('IDF Distributions'!$A$1:$AB$290,MATCH('Bulk Tool'!$A224,'IDF Distributions'!$A$1:$A$290,0),MATCH('Bulk Tool'!C$5,'IDF Distributions'!$A$1:$AB$1,0))*INDEX($N$5:$N$11,MATCH(C$6,$L$5:$L$11,0))*IF($E$2="Depth (mm)",(1),IF($E$2="Intensity (mm/hr)",12,0))</f>
        <v>0.46246738752265437</v>
      </c>
      <c r="D224" s="24">
        <f>INDEX('IDF Distributions'!$A$1:$AB$290,MATCH('Bulk Tool'!$A224,'IDF Distributions'!$A$1:$A$290,0),MATCH('Bulk Tool'!D$5,'IDF Distributions'!$A$1:$AB$1,0))*INDEX($N$5:$N$11,MATCH(D$6,$L$5:$L$11,0))*IF($E$2="Depth (mm)",(1),IF($E$2="Intensity (mm/hr)",12,0))</f>
        <v>0.5445818562837399</v>
      </c>
      <c r="E224" s="24">
        <f>INDEX('IDF Distributions'!$A$1:$AB$290,MATCH('Bulk Tool'!$A224,'IDF Distributions'!$A$1:$A$290,0),MATCH('Bulk Tool'!E$5,'IDF Distributions'!$A$1:$AB$1,0))*INDEX($N$5:$N$11,MATCH(E$6,$L$5:$L$11,0))*IF($E$2="Depth (mm)",(1),IF($E$2="Intensity (mm/hr)",12,0))</f>
        <v>0.65762888169710476</v>
      </c>
      <c r="F224" s="24">
        <f>INDEX('IDF Distributions'!$A$1:$AB$290,MATCH('Bulk Tool'!$A224,'IDF Distributions'!$A$1:$A$290,0),MATCH('Bulk Tool'!F$5,'IDF Distributions'!$A$1:$AB$1,0))*INDEX($N$5:$N$11,MATCH(F$6,$L$5:$L$11,0))*IF($E$2="Depth (mm)",(1),IF($E$2="Intensity (mm/hr)",12,0))</f>
        <v>0.74685424345105955</v>
      </c>
      <c r="G224" s="24">
        <f>INDEX('IDF Distributions'!$A$1:$AB$290,MATCH('Bulk Tool'!$A224,'IDF Distributions'!$A$1:$A$290,0),MATCH('Bulk Tool'!G$5,'IDF Distributions'!$A$1:$AB$1,0))*INDEX($N$5:$N$11,MATCH(G$6,$L$5:$L$11,0))*IF($E$2="Depth (mm)",(1),IF($E$2="Intensity (mm/hr)",12,0))</f>
        <v>0.8411969368350265</v>
      </c>
      <c r="H224" s="24">
        <f>INDEX('IDF Distributions'!$A$1:$AB$290,MATCH('Bulk Tool'!$A224,'IDF Distributions'!$A$1:$A$290,0),MATCH('Bulk Tool'!H$5,'IDF Distributions'!$A$1:$AB$1,0))*INDEX($N$5:$N$11,MATCH(H$6,$L$5:$L$11,0))*IF($E$2="Depth (mm)",(1),IF($E$2="Intensity (mm/hr)",12,0))</f>
        <v>0.94209037055941947</v>
      </c>
      <c r="I224" s="12" t="str">
        <f>IF(COUNTIF($H$7:H224,$H$7)&gt;1,"Do Not Copy","Copy")</f>
        <v>Copy</v>
      </c>
      <c r="L224"/>
      <c r="M224" s="2"/>
    </row>
    <row r="225" spans="1:13" x14ac:dyDescent="0.25">
      <c r="A225" s="128">
        <f t="shared" si="6"/>
        <v>0.75694444444444231</v>
      </c>
      <c r="B225" s="24">
        <f>INDEX('IDF Distributions'!$A$1:$AB$290,MATCH('Bulk Tool'!$A225,'IDF Distributions'!$A$1:$A$290,0),MATCH('Bulk Tool'!B$5,'IDF Distributions'!$A$1:$AB$1,0))*INDEX($N$5:$N$11,MATCH(B$6,$L$5:$L$11,0))*IF($E$2="Depth (mm)",(1),IF($E$2="Intensity (mm/hr)",12,0))</f>
        <v>0.3468164182800304</v>
      </c>
      <c r="C225" s="24">
        <f>INDEX('IDF Distributions'!$A$1:$AB$290,MATCH('Bulk Tool'!$A225,'IDF Distributions'!$A$1:$A$290,0),MATCH('Bulk Tool'!C$5,'IDF Distributions'!$A$1:$AB$1,0))*INDEX($N$5:$N$11,MATCH(C$6,$L$5:$L$11,0))*IF($E$2="Depth (mm)",(1),IF($E$2="Intensity (mm/hr)",12,0))</f>
        <v>0.46246738752265437</v>
      </c>
      <c r="D225" s="24">
        <f>INDEX('IDF Distributions'!$A$1:$AB$290,MATCH('Bulk Tool'!$A225,'IDF Distributions'!$A$1:$A$290,0),MATCH('Bulk Tool'!D$5,'IDF Distributions'!$A$1:$AB$1,0))*INDEX($N$5:$N$11,MATCH(D$6,$L$5:$L$11,0))*IF($E$2="Depth (mm)",(1),IF($E$2="Intensity (mm/hr)",12,0))</f>
        <v>0.5445818562837399</v>
      </c>
      <c r="E225" s="24">
        <f>INDEX('IDF Distributions'!$A$1:$AB$290,MATCH('Bulk Tool'!$A225,'IDF Distributions'!$A$1:$A$290,0),MATCH('Bulk Tool'!E$5,'IDF Distributions'!$A$1:$AB$1,0))*INDEX($N$5:$N$11,MATCH(E$6,$L$5:$L$11,0))*IF($E$2="Depth (mm)",(1),IF($E$2="Intensity (mm/hr)",12,0))</f>
        <v>0.65762888169710476</v>
      </c>
      <c r="F225" s="24">
        <f>INDEX('IDF Distributions'!$A$1:$AB$290,MATCH('Bulk Tool'!$A225,'IDF Distributions'!$A$1:$A$290,0),MATCH('Bulk Tool'!F$5,'IDF Distributions'!$A$1:$AB$1,0))*INDEX($N$5:$N$11,MATCH(F$6,$L$5:$L$11,0))*IF($E$2="Depth (mm)",(1),IF($E$2="Intensity (mm/hr)",12,0))</f>
        <v>0.74685424345105955</v>
      </c>
      <c r="G225" s="24">
        <f>INDEX('IDF Distributions'!$A$1:$AB$290,MATCH('Bulk Tool'!$A225,'IDF Distributions'!$A$1:$A$290,0),MATCH('Bulk Tool'!G$5,'IDF Distributions'!$A$1:$AB$1,0))*INDEX($N$5:$N$11,MATCH(G$6,$L$5:$L$11,0))*IF($E$2="Depth (mm)",(1),IF($E$2="Intensity (mm/hr)",12,0))</f>
        <v>0.8411969368350265</v>
      </c>
      <c r="H225" s="24">
        <f>INDEX('IDF Distributions'!$A$1:$AB$290,MATCH('Bulk Tool'!$A225,'IDF Distributions'!$A$1:$A$290,0),MATCH('Bulk Tool'!H$5,'IDF Distributions'!$A$1:$AB$1,0))*INDEX($N$5:$N$11,MATCH(H$6,$L$5:$L$11,0))*IF($E$2="Depth (mm)",(1),IF($E$2="Intensity (mm/hr)",12,0))</f>
        <v>0.94209037055941947</v>
      </c>
      <c r="I225" s="12" t="str">
        <f>IF(COUNTIF($H$7:H225,$H$7)&gt;1,"Do Not Copy","Copy")</f>
        <v>Copy</v>
      </c>
      <c r="L225"/>
      <c r="M225" s="2"/>
    </row>
    <row r="226" spans="1:13" x14ac:dyDescent="0.25">
      <c r="A226" s="128">
        <f t="shared" si="6"/>
        <v>0.76041666666666452</v>
      </c>
      <c r="B226" s="24">
        <f>INDEX('IDF Distributions'!$A$1:$AB$290,MATCH('Bulk Tool'!$A226,'IDF Distributions'!$A$1:$A$290,0),MATCH('Bulk Tool'!B$5,'IDF Distributions'!$A$1:$AB$1,0))*INDEX($N$5:$N$11,MATCH(B$6,$L$5:$L$11,0))*IF($E$2="Depth (mm)",(1),IF($E$2="Intensity (mm/hr)",12,0))</f>
        <v>0.33690737775774471</v>
      </c>
      <c r="C226" s="24">
        <f>INDEX('IDF Distributions'!$A$1:$AB$290,MATCH('Bulk Tool'!$A226,'IDF Distributions'!$A$1:$A$290,0),MATCH('Bulk Tool'!C$5,'IDF Distributions'!$A$1:$AB$1,0))*INDEX($N$5:$N$11,MATCH(C$6,$L$5:$L$11,0))*IF($E$2="Depth (mm)",(1),IF($E$2="Intensity (mm/hr)",12,0))</f>
        <v>0.44925403359343691</v>
      </c>
      <c r="D226" s="24">
        <f>INDEX('IDF Distributions'!$A$1:$AB$290,MATCH('Bulk Tool'!$A226,'IDF Distributions'!$A$1:$A$290,0),MATCH('Bulk Tool'!D$5,'IDF Distributions'!$A$1:$AB$1,0))*INDEX($N$5:$N$11,MATCH(D$6,$L$5:$L$11,0))*IF($E$2="Depth (mm)",(1),IF($E$2="Intensity (mm/hr)",12,0))</f>
        <v>0.5290223746756344</v>
      </c>
      <c r="E226" s="24">
        <f>INDEX('IDF Distributions'!$A$1:$AB$290,MATCH('Bulk Tool'!$A226,'IDF Distributions'!$A$1:$A$290,0),MATCH('Bulk Tool'!E$5,'IDF Distributions'!$A$1:$AB$1,0))*INDEX($N$5:$N$11,MATCH(E$6,$L$5:$L$11,0))*IF($E$2="Depth (mm)",(1),IF($E$2="Intensity (mm/hr)",12,0))</f>
        <v>0.63883948507718924</v>
      </c>
      <c r="F226" s="24">
        <f>INDEX('IDF Distributions'!$A$1:$AB$290,MATCH('Bulk Tool'!$A226,'IDF Distributions'!$A$1:$A$290,0),MATCH('Bulk Tool'!F$5,'IDF Distributions'!$A$1:$AB$1,0))*INDEX($N$5:$N$11,MATCH(F$6,$L$5:$L$11,0))*IF($E$2="Depth (mm)",(1),IF($E$2="Intensity (mm/hr)",12,0))</f>
        <v>0.72551555078103136</v>
      </c>
      <c r="G226" s="24">
        <f>INDEX('IDF Distributions'!$A$1:$AB$290,MATCH('Bulk Tool'!$A226,'IDF Distributions'!$A$1:$A$290,0),MATCH('Bulk Tool'!G$5,'IDF Distributions'!$A$1:$AB$1,0))*INDEX($N$5:$N$11,MATCH(G$6,$L$5:$L$11,0))*IF($E$2="Depth (mm)",(1),IF($E$2="Intensity (mm/hr)",12,0))</f>
        <v>0.8171627386397422</v>
      </c>
      <c r="H226" s="24">
        <f>INDEX('IDF Distributions'!$A$1:$AB$290,MATCH('Bulk Tool'!$A226,'IDF Distributions'!$A$1:$A$290,0),MATCH('Bulk Tool'!H$5,'IDF Distributions'!$A$1:$AB$1,0))*INDEX($N$5:$N$11,MATCH(H$6,$L$5:$L$11,0))*IF($E$2="Depth (mm)",(1),IF($E$2="Intensity (mm/hr)",12,0))</f>
        <v>0.91517350282915277</v>
      </c>
      <c r="I226" s="12" t="str">
        <f>IF(COUNTIF($H$7:H226,$H$7)&gt;1,"Do Not Copy","Copy")</f>
        <v>Copy</v>
      </c>
      <c r="L226"/>
      <c r="M226" s="2"/>
    </row>
    <row r="227" spans="1:13" x14ac:dyDescent="0.25">
      <c r="A227" s="128">
        <f t="shared" si="6"/>
        <v>0.76388888888888673</v>
      </c>
      <c r="B227" s="24">
        <f>INDEX('IDF Distributions'!$A$1:$AB$290,MATCH('Bulk Tool'!$A227,'IDF Distributions'!$A$1:$A$290,0),MATCH('Bulk Tool'!B$5,'IDF Distributions'!$A$1:$AB$1,0))*INDEX($N$5:$N$11,MATCH(B$6,$L$5:$L$11,0))*IF($E$2="Depth (mm)",(1),IF($E$2="Intensity (mm/hr)",12,0))</f>
        <v>0.34186189801888756</v>
      </c>
      <c r="C227" s="24">
        <f>INDEX('IDF Distributions'!$A$1:$AB$290,MATCH('Bulk Tool'!$A227,'IDF Distributions'!$A$1:$A$290,0),MATCH('Bulk Tool'!C$5,'IDF Distributions'!$A$1:$AB$1,0))*INDEX($N$5:$N$11,MATCH(C$6,$L$5:$L$11,0))*IF($E$2="Depth (mm)",(1),IF($E$2="Intensity (mm/hr)",12,0))</f>
        <v>0.45586071055804567</v>
      </c>
      <c r="D227" s="24">
        <f>INDEX('IDF Distributions'!$A$1:$AB$290,MATCH('Bulk Tool'!$A227,'IDF Distributions'!$A$1:$A$290,0),MATCH('Bulk Tool'!D$5,'IDF Distributions'!$A$1:$AB$1,0))*INDEX($N$5:$N$11,MATCH(D$6,$L$5:$L$11,0))*IF($E$2="Depth (mm)",(1),IF($E$2="Intensity (mm/hr)",12,0))</f>
        <v>0.53680211547968715</v>
      </c>
      <c r="E227" s="24">
        <f>INDEX('IDF Distributions'!$A$1:$AB$290,MATCH('Bulk Tool'!$A227,'IDF Distributions'!$A$1:$A$290,0),MATCH('Bulk Tool'!E$5,'IDF Distributions'!$A$1:$AB$1,0))*INDEX($N$5:$N$11,MATCH(E$6,$L$5:$L$11,0))*IF($E$2="Depth (mm)",(1),IF($E$2="Intensity (mm/hr)",12,0))</f>
        <v>0.648234183387147</v>
      </c>
      <c r="F227" s="24">
        <f>INDEX('IDF Distributions'!$A$1:$AB$290,MATCH('Bulk Tool'!$A227,'IDF Distributions'!$A$1:$A$290,0),MATCH('Bulk Tool'!F$5,'IDF Distributions'!$A$1:$AB$1,0))*INDEX($N$5:$N$11,MATCH(F$6,$L$5:$L$11,0))*IF($E$2="Depth (mm)",(1),IF($E$2="Intensity (mm/hr)",12,0))</f>
        <v>0.73618489711604551</v>
      </c>
      <c r="G227" s="24">
        <f>INDEX('IDF Distributions'!$A$1:$AB$290,MATCH('Bulk Tool'!$A227,'IDF Distributions'!$A$1:$A$290,0),MATCH('Bulk Tool'!G$5,'IDF Distributions'!$A$1:$AB$1,0))*INDEX($N$5:$N$11,MATCH(G$6,$L$5:$L$11,0))*IF($E$2="Depth (mm)",(1),IF($E$2="Intensity (mm/hr)",12,0))</f>
        <v>0.82917983773738424</v>
      </c>
      <c r="H227" s="24">
        <f>INDEX('IDF Distributions'!$A$1:$AB$290,MATCH('Bulk Tool'!$A227,'IDF Distributions'!$A$1:$A$290,0),MATCH('Bulk Tool'!H$5,'IDF Distributions'!$A$1:$AB$1,0))*INDEX($N$5:$N$11,MATCH(H$6,$L$5:$L$11,0))*IF($E$2="Depth (mm)",(1),IF($E$2="Intensity (mm/hr)",12,0))</f>
        <v>0.92863193669428612</v>
      </c>
      <c r="I227" s="12" t="str">
        <f>IF(COUNTIF($H$7:H227,$H$7)&gt;1,"Do Not Copy","Copy")</f>
        <v>Copy</v>
      </c>
      <c r="L227"/>
      <c r="M227" s="2"/>
    </row>
    <row r="228" spans="1:13" x14ac:dyDescent="0.25">
      <c r="A228" s="128">
        <f t="shared" si="6"/>
        <v>0.76736111111110894</v>
      </c>
      <c r="B228" s="24">
        <f>INDEX('IDF Distributions'!$A$1:$AB$290,MATCH('Bulk Tool'!$A228,'IDF Distributions'!$A$1:$A$290,0),MATCH('Bulk Tool'!B$5,'IDF Distributions'!$A$1:$AB$1,0))*INDEX($N$5:$N$11,MATCH(B$6,$L$5:$L$11,0))*IF($E$2="Depth (mm)",(1),IF($E$2="Intensity (mm/hr)",12,0))</f>
        <v>0.34186189801890404</v>
      </c>
      <c r="C228" s="24">
        <f>INDEX('IDF Distributions'!$A$1:$AB$290,MATCH('Bulk Tool'!$A228,'IDF Distributions'!$A$1:$A$290,0),MATCH('Bulk Tool'!C$5,'IDF Distributions'!$A$1:$AB$1,0))*INDEX($N$5:$N$11,MATCH(C$6,$L$5:$L$11,0))*IF($E$2="Depth (mm)",(1),IF($E$2="Intensity (mm/hr)",12,0))</f>
        <v>0.45586071055806765</v>
      </c>
      <c r="D228" s="24">
        <f>INDEX('IDF Distributions'!$A$1:$AB$290,MATCH('Bulk Tool'!$A228,'IDF Distributions'!$A$1:$A$290,0),MATCH('Bulk Tool'!D$5,'IDF Distributions'!$A$1:$AB$1,0))*INDEX($N$5:$N$11,MATCH(D$6,$L$5:$L$11,0))*IF($E$2="Depth (mm)",(1),IF($E$2="Intensity (mm/hr)",12,0))</f>
        <v>0.53680211547971313</v>
      </c>
      <c r="E228" s="24">
        <f>INDEX('IDF Distributions'!$A$1:$AB$290,MATCH('Bulk Tool'!$A228,'IDF Distributions'!$A$1:$A$290,0),MATCH('Bulk Tool'!E$5,'IDF Distributions'!$A$1:$AB$1,0))*INDEX($N$5:$N$11,MATCH(E$6,$L$5:$L$11,0))*IF($E$2="Depth (mm)",(1),IF($E$2="Intensity (mm/hr)",12,0))</f>
        <v>0.64823418338717831</v>
      </c>
      <c r="F228" s="24">
        <f>INDEX('IDF Distributions'!$A$1:$AB$290,MATCH('Bulk Tool'!$A228,'IDF Distributions'!$A$1:$A$290,0),MATCH('Bulk Tool'!F$5,'IDF Distributions'!$A$1:$AB$1,0))*INDEX($N$5:$N$11,MATCH(F$6,$L$5:$L$11,0))*IF($E$2="Depth (mm)",(1),IF($E$2="Intensity (mm/hr)",12,0))</f>
        <v>0.73618489711608104</v>
      </c>
      <c r="G228" s="24">
        <f>INDEX('IDF Distributions'!$A$1:$AB$290,MATCH('Bulk Tool'!$A228,'IDF Distributions'!$A$1:$A$290,0),MATCH('Bulk Tool'!G$5,'IDF Distributions'!$A$1:$AB$1,0))*INDEX($N$5:$N$11,MATCH(G$6,$L$5:$L$11,0))*IF($E$2="Depth (mm)",(1),IF($E$2="Intensity (mm/hr)",12,0))</f>
        <v>0.82917983773742421</v>
      </c>
      <c r="H228" s="24">
        <f>INDEX('IDF Distributions'!$A$1:$AB$290,MATCH('Bulk Tool'!$A228,'IDF Distributions'!$A$1:$A$290,0),MATCH('Bulk Tool'!H$5,'IDF Distributions'!$A$1:$AB$1,0))*INDEX($N$5:$N$11,MATCH(H$6,$L$5:$L$11,0))*IF($E$2="Depth (mm)",(1),IF($E$2="Intensity (mm/hr)",12,0))</f>
        <v>0.92863193669433097</v>
      </c>
      <c r="I228" s="12" t="str">
        <f>IF(COUNTIF($H$7:H228,$H$7)&gt;1,"Do Not Copy","Copy")</f>
        <v>Copy</v>
      </c>
      <c r="L228"/>
      <c r="M228" s="2"/>
    </row>
    <row r="229" spans="1:13" x14ac:dyDescent="0.25">
      <c r="A229" s="128">
        <f t="shared" si="6"/>
        <v>0.77083333333333115</v>
      </c>
      <c r="B229" s="24">
        <f>INDEX('IDF Distributions'!$A$1:$AB$290,MATCH('Bulk Tool'!$A229,'IDF Distributions'!$A$1:$A$290,0),MATCH('Bulk Tool'!B$5,'IDF Distributions'!$A$1:$AB$1,0))*INDEX($N$5:$N$11,MATCH(B$6,$L$5:$L$11,0))*IF($E$2="Depth (mm)",(1),IF($E$2="Intensity (mm/hr)",12,0))</f>
        <v>0.33443011762717334</v>
      </c>
      <c r="C229" s="24">
        <f>INDEX('IDF Distributions'!$A$1:$AB$290,MATCH('Bulk Tool'!$A229,'IDF Distributions'!$A$1:$A$290,0),MATCH('Bulk Tool'!C$5,'IDF Distributions'!$A$1:$AB$1,0))*INDEX($N$5:$N$11,MATCH(C$6,$L$5:$L$11,0))*IF($E$2="Depth (mm)",(1),IF($E$2="Intensity (mm/hr)",12,0))</f>
        <v>0.44595069511113261</v>
      </c>
      <c r="D229" s="24">
        <f>INDEX('IDF Distributions'!$A$1:$AB$290,MATCH('Bulk Tool'!$A229,'IDF Distributions'!$A$1:$A$290,0),MATCH('Bulk Tool'!D$5,'IDF Distributions'!$A$1:$AB$1,0))*INDEX($N$5:$N$11,MATCH(D$6,$L$5:$L$11,0))*IF($E$2="Depth (mm)",(1),IF($E$2="Intensity (mm/hr)",12,0))</f>
        <v>0.52513250427360814</v>
      </c>
      <c r="E229" s="24">
        <f>INDEX('IDF Distributions'!$A$1:$AB$290,MATCH('Bulk Tool'!$A229,'IDF Distributions'!$A$1:$A$290,0),MATCH('Bulk Tool'!E$5,'IDF Distributions'!$A$1:$AB$1,0))*INDEX($N$5:$N$11,MATCH(E$6,$L$5:$L$11,0))*IF($E$2="Depth (mm)",(1),IF($E$2="Intensity (mm/hr)",12,0))</f>
        <v>0.63414213592221036</v>
      </c>
      <c r="F229" s="24">
        <f>INDEX('IDF Distributions'!$A$1:$AB$290,MATCH('Bulk Tool'!$A229,'IDF Distributions'!$A$1:$A$290,0),MATCH('Bulk Tool'!F$5,'IDF Distributions'!$A$1:$AB$1,0))*INDEX($N$5:$N$11,MATCH(F$6,$L$5:$L$11,0))*IF($E$2="Depth (mm)",(1),IF($E$2="Intensity (mm/hr)",12,0))</f>
        <v>0.72018087761352423</v>
      </c>
      <c r="G229" s="24">
        <f>INDEX('IDF Distributions'!$A$1:$AB$290,MATCH('Bulk Tool'!$A229,'IDF Distributions'!$A$1:$A$290,0),MATCH('Bulk Tool'!G$5,'IDF Distributions'!$A$1:$AB$1,0))*INDEX($N$5:$N$11,MATCH(G$6,$L$5:$L$11,0))*IF($E$2="Depth (mm)",(1),IF($E$2="Intensity (mm/hr)",12,0))</f>
        <v>0.8111541890909213</v>
      </c>
      <c r="H229" s="24">
        <f>INDEX('IDF Distributions'!$A$1:$AB$290,MATCH('Bulk Tool'!$A229,'IDF Distributions'!$A$1:$A$290,0),MATCH('Bulk Tool'!H$5,'IDF Distributions'!$A$1:$AB$1,0))*INDEX($N$5:$N$11,MATCH(H$6,$L$5:$L$11,0))*IF($E$2="Depth (mm)",(1),IF($E$2="Intensity (mm/hr)",12,0))</f>
        <v>0.90844428589658621</v>
      </c>
      <c r="I229" s="12" t="str">
        <f>IF(COUNTIF($H$7:H229,$H$7)&gt;1,"Do Not Copy","Copy")</f>
        <v>Copy</v>
      </c>
      <c r="L229"/>
      <c r="M229" s="2"/>
    </row>
    <row r="230" spans="1:13" x14ac:dyDescent="0.25">
      <c r="A230" s="128">
        <f t="shared" si="6"/>
        <v>0.77430555555555336</v>
      </c>
      <c r="B230" s="24">
        <f>INDEX('IDF Distributions'!$A$1:$AB$290,MATCH('Bulk Tool'!$A230,'IDF Distributions'!$A$1:$A$290,0),MATCH('Bulk Tool'!B$5,'IDF Distributions'!$A$1:$AB$1,0))*INDEX($N$5:$N$11,MATCH(B$6,$L$5:$L$11,0))*IF($E$2="Depth (mm)",(1),IF($E$2="Intensity (mm/hr)",12,0))</f>
        <v>0.33443011762717334</v>
      </c>
      <c r="C230" s="24">
        <f>INDEX('IDF Distributions'!$A$1:$AB$290,MATCH('Bulk Tool'!$A230,'IDF Distributions'!$A$1:$A$290,0),MATCH('Bulk Tool'!C$5,'IDF Distributions'!$A$1:$AB$1,0))*INDEX($N$5:$N$11,MATCH(C$6,$L$5:$L$11,0))*IF($E$2="Depth (mm)",(1),IF($E$2="Intensity (mm/hr)",12,0))</f>
        <v>0.44595069511113261</v>
      </c>
      <c r="D230" s="24">
        <f>INDEX('IDF Distributions'!$A$1:$AB$290,MATCH('Bulk Tool'!$A230,'IDF Distributions'!$A$1:$A$290,0),MATCH('Bulk Tool'!D$5,'IDF Distributions'!$A$1:$AB$1,0))*INDEX($N$5:$N$11,MATCH(D$6,$L$5:$L$11,0))*IF($E$2="Depth (mm)",(1),IF($E$2="Intensity (mm/hr)",12,0))</f>
        <v>0.52513250427360814</v>
      </c>
      <c r="E230" s="24">
        <f>INDEX('IDF Distributions'!$A$1:$AB$290,MATCH('Bulk Tool'!$A230,'IDF Distributions'!$A$1:$A$290,0),MATCH('Bulk Tool'!E$5,'IDF Distributions'!$A$1:$AB$1,0))*INDEX($N$5:$N$11,MATCH(E$6,$L$5:$L$11,0))*IF($E$2="Depth (mm)",(1),IF($E$2="Intensity (mm/hr)",12,0))</f>
        <v>0.63414213592221036</v>
      </c>
      <c r="F230" s="24">
        <f>INDEX('IDF Distributions'!$A$1:$AB$290,MATCH('Bulk Tool'!$A230,'IDF Distributions'!$A$1:$A$290,0),MATCH('Bulk Tool'!F$5,'IDF Distributions'!$A$1:$AB$1,0))*INDEX($N$5:$N$11,MATCH(F$6,$L$5:$L$11,0))*IF($E$2="Depth (mm)",(1),IF($E$2="Intensity (mm/hr)",12,0))</f>
        <v>0.72018087761352423</v>
      </c>
      <c r="G230" s="24">
        <f>INDEX('IDF Distributions'!$A$1:$AB$290,MATCH('Bulk Tool'!$A230,'IDF Distributions'!$A$1:$A$290,0),MATCH('Bulk Tool'!G$5,'IDF Distributions'!$A$1:$AB$1,0))*INDEX($N$5:$N$11,MATCH(G$6,$L$5:$L$11,0))*IF($E$2="Depth (mm)",(1),IF($E$2="Intensity (mm/hr)",12,0))</f>
        <v>0.8111541890909213</v>
      </c>
      <c r="H230" s="24">
        <f>INDEX('IDF Distributions'!$A$1:$AB$290,MATCH('Bulk Tool'!$A230,'IDF Distributions'!$A$1:$A$290,0),MATCH('Bulk Tool'!H$5,'IDF Distributions'!$A$1:$AB$1,0))*INDEX($N$5:$N$11,MATCH(H$6,$L$5:$L$11,0))*IF($E$2="Depth (mm)",(1),IF($E$2="Intensity (mm/hr)",12,0))</f>
        <v>0.90844428589658621</v>
      </c>
      <c r="I230" s="12" t="str">
        <f>IF(COUNTIF($H$7:H230,$H$7)&gt;1,"Do Not Copy","Copy")</f>
        <v>Copy</v>
      </c>
      <c r="L230"/>
      <c r="M230" s="2"/>
    </row>
    <row r="231" spans="1:13" x14ac:dyDescent="0.25">
      <c r="A231" s="128">
        <f t="shared" si="6"/>
        <v>0.77777777777777557</v>
      </c>
      <c r="B231" s="24">
        <f>INDEX('IDF Distributions'!$A$1:$AB$290,MATCH('Bulk Tool'!$A231,'IDF Distributions'!$A$1:$A$290,0),MATCH('Bulk Tool'!B$5,'IDF Distributions'!$A$1:$AB$1,0))*INDEX($N$5:$N$11,MATCH(B$6,$L$5:$L$11,0))*IF($E$2="Depth (mm)",(1),IF($E$2="Intensity (mm/hr)",12,0))</f>
        <v>0.33443011762717334</v>
      </c>
      <c r="C231" s="24">
        <f>INDEX('IDF Distributions'!$A$1:$AB$290,MATCH('Bulk Tool'!$A231,'IDF Distributions'!$A$1:$A$290,0),MATCH('Bulk Tool'!C$5,'IDF Distributions'!$A$1:$AB$1,0))*INDEX($N$5:$N$11,MATCH(C$6,$L$5:$L$11,0))*IF($E$2="Depth (mm)",(1),IF($E$2="Intensity (mm/hr)",12,0))</f>
        <v>0.44595069511113261</v>
      </c>
      <c r="D231" s="24">
        <f>INDEX('IDF Distributions'!$A$1:$AB$290,MATCH('Bulk Tool'!$A231,'IDF Distributions'!$A$1:$A$290,0),MATCH('Bulk Tool'!D$5,'IDF Distributions'!$A$1:$AB$1,0))*INDEX($N$5:$N$11,MATCH(D$6,$L$5:$L$11,0))*IF($E$2="Depth (mm)",(1),IF($E$2="Intensity (mm/hr)",12,0))</f>
        <v>0.52513250427360814</v>
      </c>
      <c r="E231" s="24">
        <f>INDEX('IDF Distributions'!$A$1:$AB$290,MATCH('Bulk Tool'!$A231,'IDF Distributions'!$A$1:$A$290,0),MATCH('Bulk Tool'!E$5,'IDF Distributions'!$A$1:$AB$1,0))*INDEX($N$5:$N$11,MATCH(E$6,$L$5:$L$11,0))*IF($E$2="Depth (mm)",(1),IF($E$2="Intensity (mm/hr)",12,0))</f>
        <v>0.63414213592221036</v>
      </c>
      <c r="F231" s="24">
        <f>INDEX('IDF Distributions'!$A$1:$AB$290,MATCH('Bulk Tool'!$A231,'IDF Distributions'!$A$1:$A$290,0),MATCH('Bulk Tool'!F$5,'IDF Distributions'!$A$1:$AB$1,0))*INDEX($N$5:$N$11,MATCH(F$6,$L$5:$L$11,0))*IF($E$2="Depth (mm)",(1),IF($E$2="Intensity (mm/hr)",12,0))</f>
        <v>0.72018087761352423</v>
      </c>
      <c r="G231" s="24">
        <f>INDEX('IDF Distributions'!$A$1:$AB$290,MATCH('Bulk Tool'!$A231,'IDF Distributions'!$A$1:$A$290,0),MATCH('Bulk Tool'!G$5,'IDF Distributions'!$A$1:$AB$1,0))*INDEX($N$5:$N$11,MATCH(G$6,$L$5:$L$11,0))*IF($E$2="Depth (mm)",(1),IF($E$2="Intensity (mm/hr)",12,0))</f>
        <v>0.8111541890909213</v>
      </c>
      <c r="H231" s="24">
        <f>INDEX('IDF Distributions'!$A$1:$AB$290,MATCH('Bulk Tool'!$A231,'IDF Distributions'!$A$1:$A$290,0),MATCH('Bulk Tool'!H$5,'IDF Distributions'!$A$1:$AB$1,0))*INDEX($N$5:$N$11,MATCH(H$6,$L$5:$L$11,0))*IF($E$2="Depth (mm)",(1),IF($E$2="Intensity (mm/hr)",12,0))</f>
        <v>0.90844428589658621</v>
      </c>
      <c r="I231" s="12" t="str">
        <f>IF(COUNTIF($H$7:H231,$H$7)&gt;1,"Do Not Copy","Copy")</f>
        <v>Copy</v>
      </c>
      <c r="L231"/>
      <c r="M231" s="2"/>
    </row>
    <row r="232" spans="1:13" x14ac:dyDescent="0.25">
      <c r="A232" s="128">
        <f t="shared" si="6"/>
        <v>0.78124999999999778</v>
      </c>
      <c r="B232" s="24">
        <f>INDEX('IDF Distributions'!$A$1:$AB$290,MATCH('Bulk Tool'!$A232,'IDF Distributions'!$A$1:$A$290,0),MATCH('Bulk Tool'!B$5,'IDF Distributions'!$A$1:$AB$1,0))*INDEX($N$5:$N$11,MATCH(B$6,$L$5:$L$11,0))*IF($E$2="Depth (mm)",(1),IF($E$2="Intensity (mm/hr)",12,0))</f>
        <v>0.33443011762718983</v>
      </c>
      <c r="C232" s="24">
        <f>INDEX('IDF Distributions'!$A$1:$AB$290,MATCH('Bulk Tool'!$A232,'IDF Distributions'!$A$1:$A$290,0),MATCH('Bulk Tool'!C$5,'IDF Distributions'!$A$1:$AB$1,0))*INDEX($N$5:$N$11,MATCH(C$6,$L$5:$L$11,0))*IF($E$2="Depth (mm)",(1),IF($E$2="Intensity (mm/hr)",12,0))</f>
        <v>0.44595069511115459</v>
      </c>
      <c r="D232" s="24">
        <f>INDEX('IDF Distributions'!$A$1:$AB$290,MATCH('Bulk Tool'!$A232,'IDF Distributions'!$A$1:$A$290,0),MATCH('Bulk Tool'!D$5,'IDF Distributions'!$A$1:$AB$1,0))*INDEX($N$5:$N$11,MATCH(D$6,$L$5:$L$11,0))*IF($E$2="Depth (mm)",(1),IF($E$2="Intensity (mm/hr)",12,0))</f>
        <v>0.525132504273634</v>
      </c>
      <c r="E232" s="24">
        <f>INDEX('IDF Distributions'!$A$1:$AB$290,MATCH('Bulk Tool'!$A232,'IDF Distributions'!$A$1:$A$290,0),MATCH('Bulk Tool'!E$5,'IDF Distributions'!$A$1:$AB$1,0))*INDEX($N$5:$N$11,MATCH(E$6,$L$5:$L$11,0))*IF($E$2="Depth (mm)",(1),IF($E$2="Intensity (mm/hr)",12,0))</f>
        <v>0.63414213592224167</v>
      </c>
      <c r="F232" s="24">
        <f>INDEX('IDF Distributions'!$A$1:$AB$290,MATCH('Bulk Tool'!$A232,'IDF Distributions'!$A$1:$A$290,0),MATCH('Bulk Tool'!F$5,'IDF Distributions'!$A$1:$AB$1,0))*INDEX($N$5:$N$11,MATCH(F$6,$L$5:$L$11,0))*IF($E$2="Depth (mm)",(1),IF($E$2="Intensity (mm/hr)",12,0))</f>
        <v>0.72018087761355987</v>
      </c>
      <c r="G232" s="24">
        <f>INDEX('IDF Distributions'!$A$1:$AB$290,MATCH('Bulk Tool'!$A232,'IDF Distributions'!$A$1:$A$290,0),MATCH('Bulk Tool'!G$5,'IDF Distributions'!$A$1:$AB$1,0))*INDEX($N$5:$N$11,MATCH(G$6,$L$5:$L$11,0))*IF($E$2="Depth (mm)",(1),IF($E$2="Intensity (mm/hr)",12,0))</f>
        <v>0.81115418909096126</v>
      </c>
      <c r="H232" s="24">
        <f>INDEX('IDF Distributions'!$A$1:$AB$290,MATCH('Bulk Tool'!$A232,'IDF Distributions'!$A$1:$A$290,0),MATCH('Bulk Tool'!H$5,'IDF Distributions'!$A$1:$AB$1,0))*INDEX($N$5:$N$11,MATCH(H$6,$L$5:$L$11,0))*IF($E$2="Depth (mm)",(1),IF($E$2="Intensity (mm/hr)",12,0))</f>
        <v>0.90844428589663107</v>
      </c>
      <c r="I232" s="12" t="str">
        <f>IF(COUNTIF($H$7:H232,$H$7)&gt;1,"Do Not Copy","Copy")</f>
        <v>Copy</v>
      </c>
      <c r="L232"/>
      <c r="M232" s="2"/>
    </row>
    <row r="233" spans="1:13" x14ac:dyDescent="0.25">
      <c r="A233" s="128">
        <f t="shared" si="6"/>
        <v>0.78472222222221999</v>
      </c>
      <c r="B233" s="24">
        <f>INDEX('IDF Distributions'!$A$1:$AB$290,MATCH('Bulk Tool'!$A233,'IDF Distributions'!$A$1:$A$290,0),MATCH('Bulk Tool'!B$5,'IDF Distributions'!$A$1:$AB$1,0))*INDEX($N$5:$N$11,MATCH(B$6,$L$5:$L$11,0))*IF($E$2="Depth (mm)",(1),IF($E$2="Intensity (mm/hr)",12,0))</f>
        <v>0.33443011762717334</v>
      </c>
      <c r="C233" s="24">
        <f>INDEX('IDF Distributions'!$A$1:$AB$290,MATCH('Bulk Tool'!$A233,'IDF Distributions'!$A$1:$A$290,0),MATCH('Bulk Tool'!C$5,'IDF Distributions'!$A$1:$AB$1,0))*INDEX($N$5:$N$11,MATCH(C$6,$L$5:$L$11,0))*IF($E$2="Depth (mm)",(1),IF($E$2="Intensity (mm/hr)",12,0))</f>
        <v>0.44595069511113261</v>
      </c>
      <c r="D233" s="24">
        <f>INDEX('IDF Distributions'!$A$1:$AB$290,MATCH('Bulk Tool'!$A233,'IDF Distributions'!$A$1:$A$290,0),MATCH('Bulk Tool'!D$5,'IDF Distributions'!$A$1:$AB$1,0))*INDEX($N$5:$N$11,MATCH(D$6,$L$5:$L$11,0))*IF($E$2="Depth (mm)",(1),IF($E$2="Intensity (mm/hr)",12,0))</f>
        <v>0.52513250427360814</v>
      </c>
      <c r="E233" s="24">
        <f>INDEX('IDF Distributions'!$A$1:$AB$290,MATCH('Bulk Tool'!$A233,'IDF Distributions'!$A$1:$A$290,0),MATCH('Bulk Tool'!E$5,'IDF Distributions'!$A$1:$AB$1,0))*INDEX($N$5:$N$11,MATCH(E$6,$L$5:$L$11,0))*IF($E$2="Depth (mm)",(1),IF($E$2="Intensity (mm/hr)",12,0))</f>
        <v>0.63414213592221036</v>
      </c>
      <c r="F233" s="24">
        <f>INDEX('IDF Distributions'!$A$1:$AB$290,MATCH('Bulk Tool'!$A233,'IDF Distributions'!$A$1:$A$290,0),MATCH('Bulk Tool'!F$5,'IDF Distributions'!$A$1:$AB$1,0))*INDEX($N$5:$N$11,MATCH(F$6,$L$5:$L$11,0))*IF($E$2="Depth (mm)",(1),IF($E$2="Intensity (mm/hr)",12,0))</f>
        <v>0.72018087761352423</v>
      </c>
      <c r="G233" s="24">
        <f>INDEX('IDF Distributions'!$A$1:$AB$290,MATCH('Bulk Tool'!$A233,'IDF Distributions'!$A$1:$A$290,0),MATCH('Bulk Tool'!G$5,'IDF Distributions'!$A$1:$AB$1,0))*INDEX($N$5:$N$11,MATCH(G$6,$L$5:$L$11,0))*IF($E$2="Depth (mm)",(1),IF($E$2="Intensity (mm/hr)",12,0))</f>
        <v>0.8111541890909213</v>
      </c>
      <c r="H233" s="24">
        <f>INDEX('IDF Distributions'!$A$1:$AB$290,MATCH('Bulk Tool'!$A233,'IDF Distributions'!$A$1:$A$290,0),MATCH('Bulk Tool'!H$5,'IDF Distributions'!$A$1:$AB$1,0))*INDEX($N$5:$N$11,MATCH(H$6,$L$5:$L$11,0))*IF($E$2="Depth (mm)",(1),IF($E$2="Intensity (mm/hr)",12,0))</f>
        <v>0.90844428589658621</v>
      </c>
      <c r="I233" s="12" t="str">
        <f>IF(COUNTIF($H$7:H233,$H$7)&gt;1,"Do Not Copy","Copy")</f>
        <v>Copy</v>
      </c>
      <c r="L233"/>
      <c r="M233" s="2"/>
    </row>
    <row r="234" spans="1:13" x14ac:dyDescent="0.25">
      <c r="A234" s="128">
        <f t="shared" si="6"/>
        <v>0.7881944444444422</v>
      </c>
      <c r="B234" s="24">
        <f>INDEX('IDF Distributions'!$A$1:$AB$290,MATCH('Bulk Tool'!$A234,'IDF Distributions'!$A$1:$A$290,0),MATCH('Bulk Tool'!B$5,'IDF Distributions'!$A$1:$AB$1,0))*INDEX($N$5:$N$11,MATCH(B$6,$L$5:$L$11,0))*IF($E$2="Depth (mm)",(1),IF($E$2="Intensity (mm/hr)",12,0))</f>
        <v>0.32947559736603049</v>
      </c>
      <c r="C234" s="24">
        <f>INDEX('IDF Distributions'!$A$1:$AB$290,MATCH('Bulk Tool'!$A234,'IDF Distributions'!$A$1:$A$290,0),MATCH('Bulk Tool'!C$5,'IDF Distributions'!$A$1:$AB$1,0))*INDEX($N$5:$N$11,MATCH(C$6,$L$5:$L$11,0))*IF($E$2="Depth (mm)",(1),IF($E$2="Intensity (mm/hr)",12,0))</f>
        <v>0.43934401814652385</v>
      </c>
      <c r="D234" s="24">
        <f>INDEX('IDF Distributions'!$A$1:$AB$290,MATCH('Bulk Tool'!$A234,'IDF Distributions'!$A$1:$A$290,0),MATCH('Bulk Tool'!D$5,'IDF Distributions'!$A$1:$AB$1,0))*INDEX($N$5:$N$11,MATCH(D$6,$L$5:$L$11,0))*IF($E$2="Depth (mm)",(1),IF($E$2="Intensity (mm/hr)",12,0))</f>
        <v>0.51735276346955539</v>
      </c>
      <c r="E234" s="24">
        <f>INDEX('IDF Distributions'!$A$1:$AB$290,MATCH('Bulk Tool'!$A234,'IDF Distributions'!$A$1:$A$290,0),MATCH('Bulk Tool'!E$5,'IDF Distributions'!$A$1:$AB$1,0))*INDEX($N$5:$N$11,MATCH(E$6,$L$5:$L$11,0))*IF($E$2="Depth (mm)",(1),IF($E$2="Intensity (mm/hr)",12,0))</f>
        <v>0.6247474376122526</v>
      </c>
      <c r="F234" s="24">
        <f>INDEX('IDF Distributions'!$A$1:$AB$290,MATCH('Bulk Tool'!$A234,'IDF Distributions'!$A$1:$A$290,0),MATCH('Bulk Tool'!F$5,'IDF Distributions'!$A$1:$AB$1,0))*INDEX($N$5:$N$11,MATCH(F$6,$L$5:$L$11,0))*IF($E$2="Depth (mm)",(1),IF($E$2="Intensity (mm/hr)",12,0))</f>
        <v>0.70951153127851019</v>
      </c>
      <c r="G234" s="24">
        <f>INDEX('IDF Distributions'!$A$1:$AB$290,MATCH('Bulk Tool'!$A234,'IDF Distributions'!$A$1:$A$290,0),MATCH('Bulk Tool'!G$5,'IDF Distributions'!$A$1:$AB$1,0))*INDEX($N$5:$N$11,MATCH(G$6,$L$5:$L$11,0))*IF($E$2="Depth (mm)",(1),IF($E$2="Intensity (mm/hr)",12,0))</f>
        <v>0.79913708999327904</v>
      </c>
      <c r="H234" s="24">
        <f>INDEX('IDF Distributions'!$A$1:$AB$290,MATCH('Bulk Tool'!$A234,'IDF Distributions'!$A$1:$A$290,0),MATCH('Bulk Tool'!H$5,'IDF Distributions'!$A$1:$AB$1,0))*INDEX($N$5:$N$11,MATCH(H$6,$L$5:$L$11,0))*IF($E$2="Depth (mm)",(1),IF($E$2="Intensity (mm/hr)",12,0))</f>
        <v>0.89498585203145298</v>
      </c>
      <c r="I234" s="12" t="str">
        <f>IF(COUNTIF($H$7:H234,$H$7)&gt;1,"Do Not Copy","Copy")</f>
        <v>Copy</v>
      </c>
      <c r="L234"/>
      <c r="M234" s="2"/>
    </row>
    <row r="235" spans="1:13" x14ac:dyDescent="0.25">
      <c r="A235" s="128">
        <f t="shared" si="6"/>
        <v>0.79166666666666441</v>
      </c>
      <c r="B235" s="24">
        <f>INDEX('IDF Distributions'!$A$1:$AB$290,MATCH('Bulk Tool'!$A235,'IDF Distributions'!$A$1:$A$290,0),MATCH('Bulk Tool'!B$5,'IDF Distributions'!$A$1:$AB$1,0))*INDEX($N$5:$N$11,MATCH(B$6,$L$5:$L$11,0))*IF($E$2="Depth (mm)",(1),IF($E$2="Intensity (mm/hr)",12,0))</f>
        <v>0.32204381697431628</v>
      </c>
      <c r="C235" s="24">
        <f>INDEX('IDF Distributions'!$A$1:$AB$290,MATCH('Bulk Tool'!$A235,'IDF Distributions'!$A$1:$A$290,0),MATCH('Bulk Tool'!C$5,'IDF Distributions'!$A$1:$AB$1,0))*INDEX($N$5:$N$11,MATCH(C$6,$L$5:$L$11,0))*IF($E$2="Depth (mm)",(1),IF($E$2="Intensity (mm/hr)",12,0))</f>
        <v>0.4294340026996108</v>
      </c>
      <c r="D235" s="24">
        <f>INDEX('IDF Distributions'!$A$1:$AB$290,MATCH('Bulk Tool'!$A235,'IDF Distributions'!$A$1:$A$290,0),MATCH('Bulk Tool'!D$5,'IDF Distributions'!$A$1:$AB$1,0))*INDEX($N$5:$N$11,MATCH(D$6,$L$5:$L$11,0))*IF($E$2="Depth (mm)",(1),IF($E$2="Intensity (mm/hr)",12,0))</f>
        <v>0.50568315226347649</v>
      </c>
      <c r="E235" s="24">
        <f>INDEX('IDF Distributions'!$A$1:$AB$290,MATCH('Bulk Tool'!$A235,'IDF Distributions'!$A$1:$A$290,0),MATCH('Bulk Tool'!E$5,'IDF Distributions'!$A$1:$AB$1,0))*INDEX($N$5:$N$11,MATCH(E$6,$L$5:$L$11,0))*IF($E$2="Depth (mm)",(1),IF($E$2="Intensity (mm/hr)",12,0))</f>
        <v>0.61065539014731596</v>
      </c>
      <c r="F235" s="24">
        <f>INDEX('IDF Distributions'!$A$1:$AB$290,MATCH('Bulk Tool'!$A235,'IDF Distributions'!$A$1:$A$290,0),MATCH('Bulk Tool'!F$5,'IDF Distributions'!$A$1:$AB$1,0))*INDEX($N$5:$N$11,MATCH(F$6,$L$5:$L$11,0))*IF($E$2="Depth (mm)",(1),IF($E$2="Intensity (mm/hr)",12,0))</f>
        <v>0.69350751177598902</v>
      </c>
      <c r="G235" s="24">
        <f>INDEX('IDF Distributions'!$A$1:$AB$290,MATCH('Bulk Tool'!$A235,'IDF Distributions'!$A$1:$A$290,0),MATCH('Bulk Tool'!G$5,'IDF Distributions'!$A$1:$AB$1,0))*INDEX($N$5:$N$11,MATCH(G$6,$L$5:$L$11,0))*IF($E$2="Depth (mm)",(1),IF($E$2="Intensity (mm/hr)",12,0))</f>
        <v>0.78111144134681587</v>
      </c>
      <c r="H235" s="24">
        <f>INDEX('IDF Distributions'!$A$1:$AB$290,MATCH('Bulk Tool'!$A235,'IDF Distributions'!$A$1:$A$290,0),MATCH('Bulk Tool'!H$5,'IDF Distributions'!$A$1:$AB$1,0))*INDEX($N$5:$N$11,MATCH(H$6,$L$5:$L$11,0))*IF($E$2="Depth (mm)",(1),IF($E$2="Intensity (mm/hr)",12,0))</f>
        <v>0.87479820123375296</v>
      </c>
      <c r="I235" s="12" t="str">
        <f>IF(COUNTIF($H$7:H235,$H$7)&gt;1,"Do Not Copy","Copy")</f>
        <v>Copy</v>
      </c>
      <c r="L235"/>
      <c r="M235" s="2"/>
    </row>
    <row r="236" spans="1:13" x14ac:dyDescent="0.25">
      <c r="A236" s="128">
        <f t="shared" si="6"/>
        <v>0.79513888888888662</v>
      </c>
      <c r="B236" s="24">
        <f>INDEX('IDF Distributions'!$A$1:$AB$290,MATCH('Bulk Tool'!$A236,'IDF Distributions'!$A$1:$A$290,0),MATCH('Bulk Tool'!B$5,'IDF Distributions'!$A$1:$AB$1,0))*INDEX($N$5:$N$11,MATCH(B$6,$L$5:$L$11,0))*IF($E$2="Depth (mm)",(1),IF($E$2="Intensity (mm/hr)",12,0))</f>
        <v>0.32204381697431628</v>
      </c>
      <c r="C236" s="24">
        <f>INDEX('IDF Distributions'!$A$1:$AB$290,MATCH('Bulk Tool'!$A236,'IDF Distributions'!$A$1:$A$290,0),MATCH('Bulk Tool'!C$5,'IDF Distributions'!$A$1:$AB$1,0))*INDEX($N$5:$N$11,MATCH(C$6,$L$5:$L$11,0))*IF($E$2="Depth (mm)",(1),IF($E$2="Intensity (mm/hr)",12,0))</f>
        <v>0.4294340026996108</v>
      </c>
      <c r="D236" s="24">
        <f>INDEX('IDF Distributions'!$A$1:$AB$290,MATCH('Bulk Tool'!$A236,'IDF Distributions'!$A$1:$A$290,0),MATCH('Bulk Tool'!D$5,'IDF Distributions'!$A$1:$AB$1,0))*INDEX($N$5:$N$11,MATCH(D$6,$L$5:$L$11,0))*IF($E$2="Depth (mm)",(1),IF($E$2="Intensity (mm/hr)",12,0))</f>
        <v>0.50568315226347649</v>
      </c>
      <c r="E236" s="24">
        <f>INDEX('IDF Distributions'!$A$1:$AB$290,MATCH('Bulk Tool'!$A236,'IDF Distributions'!$A$1:$A$290,0),MATCH('Bulk Tool'!E$5,'IDF Distributions'!$A$1:$AB$1,0))*INDEX($N$5:$N$11,MATCH(E$6,$L$5:$L$11,0))*IF($E$2="Depth (mm)",(1),IF($E$2="Intensity (mm/hr)",12,0))</f>
        <v>0.61065539014731596</v>
      </c>
      <c r="F236" s="24">
        <f>INDEX('IDF Distributions'!$A$1:$AB$290,MATCH('Bulk Tool'!$A236,'IDF Distributions'!$A$1:$A$290,0),MATCH('Bulk Tool'!F$5,'IDF Distributions'!$A$1:$AB$1,0))*INDEX($N$5:$N$11,MATCH(F$6,$L$5:$L$11,0))*IF($E$2="Depth (mm)",(1),IF($E$2="Intensity (mm/hr)",12,0))</f>
        <v>0.69350751177598902</v>
      </c>
      <c r="G236" s="24">
        <f>INDEX('IDF Distributions'!$A$1:$AB$290,MATCH('Bulk Tool'!$A236,'IDF Distributions'!$A$1:$A$290,0),MATCH('Bulk Tool'!G$5,'IDF Distributions'!$A$1:$AB$1,0))*INDEX($N$5:$N$11,MATCH(G$6,$L$5:$L$11,0))*IF($E$2="Depth (mm)",(1),IF($E$2="Intensity (mm/hr)",12,0))</f>
        <v>0.78111144134681587</v>
      </c>
      <c r="H236" s="24">
        <f>INDEX('IDF Distributions'!$A$1:$AB$290,MATCH('Bulk Tool'!$A236,'IDF Distributions'!$A$1:$A$290,0),MATCH('Bulk Tool'!H$5,'IDF Distributions'!$A$1:$AB$1,0))*INDEX($N$5:$N$11,MATCH(H$6,$L$5:$L$11,0))*IF($E$2="Depth (mm)",(1),IF($E$2="Intensity (mm/hr)",12,0))</f>
        <v>0.87479820123375296</v>
      </c>
      <c r="I236" s="12" t="str">
        <f>IF(COUNTIF($H$7:H236,$H$7)&gt;1,"Do Not Copy","Copy")</f>
        <v>Copy</v>
      </c>
      <c r="L236"/>
      <c r="M236" s="2"/>
    </row>
    <row r="237" spans="1:13" x14ac:dyDescent="0.25">
      <c r="A237" s="128">
        <f t="shared" si="6"/>
        <v>0.79861111111110883</v>
      </c>
      <c r="B237" s="24">
        <f>INDEX('IDF Distributions'!$A$1:$AB$290,MATCH('Bulk Tool'!$A237,'IDF Distributions'!$A$1:$A$290,0),MATCH('Bulk Tool'!B$5,'IDF Distributions'!$A$1:$AB$1,0))*INDEX($N$5:$N$11,MATCH(B$6,$L$5:$L$11,0))*IF($E$2="Depth (mm)",(1),IF($E$2="Intensity (mm/hr)",12,0))</f>
        <v>0.33443011762718983</v>
      </c>
      <c r="C237" s="24">
        <f>INDEX('IDF Distributions'!$A$1:$AB$290,MATCH('Bulk Tool'!$A237,'IDF Distributions'!$A$1:$A$290,0),MATCH('Bulk Tool'!C$5,'IDF Distributions'!$A$1:$AB$1,0))*INDEX($N$5:$N$11,MATCH(C$6,$L$5:$L$11,0))*IF($E$2="Depth (mm)",(1),IF($E$2="Intensity (mm/hr)",12,0))</f>
        <v>0.44595069511115459</v>
      </c>
      <c r="D237" s="24">
        <f>INDEX('IDF Distributions'!$A$1:$AB$290,MATCH('Bulk Tool'!$A237,'IDF Distributions'!$A$1:$A$290,0),MATCH('Bulk Tool'!D$5,'IDF Distributions'!$A$1:$AB$1,0))*INDEX($N$5:$N$11,MATCH(D$6,$L$5:$L$11,0))*IF($E$2="Depth (mm)",(1),IF($E$2="Intensity (mm/hr)",12,0))</f>
        <v>0.525132504273634</v>
      </c>
      <c r="E237" s="24">
        <f>INDEX('IDF Distributions'!$A$1:$AB$290,MATCH('Bulk Tool'!$A237,'IDF Distributions'!$A$1:$A$290,0),MATCH('Bulk Tool'!E$5,'IDF Distributions'!$A$1:$AB$1,0))*INDEX($N$5:$N$11,MATCH(E$6,$L$5:$L$11,0))*IF($E$2="Depth (mm)",(1),IF($E$2="Intensity (mm/hr)",12,0))</f>
        <v>0.63414213592224167</v>
      </c>
      <c r="F237" s="24">
        <f>INDEX('IDF Distributions'!$A$1:$AB$290,MATCH('Bulk Tool'!$A237,'IDF Distributions'!$A$1:$A$290,0),MATCH('Bulk Tool'!F$5,'IDF Distributions'!$A$1:$AB$1,0))*INDEX($N$5:$N$11,MATCH(F$6,$L$5:$L$11,0))*IF($E$2="Depth (mm)",(1),IF($E$2="Intensity (mm/hr)",12,0))</f>
        <v>0.72018087761355987</v>
      </c>
      <c r="G237" s="24">
        <f>INDEX('IDF Distributions'!$A$1:$AB$290,MATCH('Bulk Tool'!$A237,'IDF Distributions'!$A$1:$A$290,0),MATCH('Bulk Tool'!G$5,'IDF Distributions'!$A$1:$AB$1,0))*INDEX($N$5:$N$11,MATCH(G$6,$L$5:$L$11,0))*IF($E$2="Depth (mm)",(1),IF($E$2="Intensity (mm/hr)",12,0))</f>
        <v>0.81115418909096126</v>
      </c>
      <c r="H237" s="24">
        <f>INDEX('IDF Distributions'!$A$1:$AB$290,MATCH('Bulk Tool'!$A237,'IDF Distributions'!$A$1:$A$290,0),MATCH('Bulk Tool'!H$5,'IDF Distributions'!$A$1:$AB$1,0))*INDEX($N$5:$N$11,MATCH(H$6,$L$5:$L$11,0))*IF($E$2="Depth (mm)",(1),IF($E$2="Intensity (mm/hr)",12,0))</f>
        <v>0.90844428589663107</v>
      </c>
      <c r="I237" s="12" t="str">
        <f>IF(COUNTIF($H$7:H237,$H$7)&gt;1,"Do Not Copy","Copy")</f>
        <v>Copy</v>
      </c>
      <c r="L237"/>
      <c r="M237" s="2"/>
    </row>
    <row r="238" spans="1:13" x14ac:dyDescent="0.25">
      <c r="A238" s="128">
        <f t="shared" si="6"/>
        <v>0.80208333333333104</v>
      </c>
      <c r="B238" s="24">
        <f>INDEX('IDF Distributions'!$A$1:$AB$290,MATCH('Bulk Tool'!$A238,'IDF Distributions'!$A$1:$A$290,0),MATCH('Bulk Tool'!B$5,'IDF Distributions'!$A$1:$AB$1,0))*INDEX($N$5:$N$11,MATCH(B$6,$L$5:$L$11,0))*IF($E$2="Depth (mm)",(1),IF($E$2="Intensity (mm/hr)",12,0))</f>
        <v>0.3245210771048877</v>
      </c>
      <c r="C238" s="24">
        <f>INDEX('IDF Distributions'!$A$1:$AB$290,MATCH('Bulk Tool'!$A238,'IDF Distributions'!$A$1:$A$290,0),MATCH('Bulk Tool'!C$5,'IDF Distributions'!$A$1:$AB$1,0))*INDEX($N$5:$N$11,MATCH(C$6,$L$5:$L$11,0))*IF($E$2="Depth (mm)",(1),IF($E$2="Intensity (mm/hr)",12,0))</f>
        <v>0.43273734118191509</v>
      </c>
      <c r="D238" s="24">
        <f>INDEX('IDF Distributions'!$A$1:$AB$290,MATCH('Bulk Tool'!$A238,'IDF Distributions'!$A$1:$A$290,0),MATCH('Bulk Tool'!D$5,'IDF Distributions'!$A$1:$AB$1,0))*INDEX($N$5:$N$11,MATCH(D$6,$L$5:$L$11,0))*IF($E$2="Depth (mm)",(1),IF($E$2="Intensity (mm/hr)",12,0))</f>
        <v>0.50957302266550275</v>
      </c>
      <c r="E238" s="24">
        <f>INDEX('IDF Distributions'!$A$1:$AB$290,MATCH('Bulk Tool'!$A238,'IDF Distributions'!$A$1:$A$290,0),MATCH('Bulk Tool'!E$5,'IDF Distributions'!$A$1:$AB$1,0))*INDEX($N$5:$N$11,MATCH(E$6,$L$5:$L$11,0))*IF($E$2="Depth (mm)",(1),IF($E$2="Intensity (mm/hr)",12,0))</f>
        <v>0.61535273930229495</v>
      </c>
      <c r="F238" s="24">
        <f>INDEX('IDF Distributions'!$A$1:$AB$290,MATCH('Bulk Tool'!$A238,'IDF Distributions'!$A$1:$A$290,0),MATCH('Bulk Tool'!F$5,'IDF Distributions'!$A$1:$AB$1,0))*INDEX($N$5:$N$11,MATCH(F$6,$L$5:$L$11,0))*IF($E$2="Depth (mm)",(1),IF($E$2="Intensity (mm/hr)",12,0))</f>
        <v>0.69884218494349604</v>
      </c>
      <c r="G238" s="24">
        <f>INDEX('IDF Distributions'!$A$1:$AB$290,MATCH('Bulk Tool'!$A238,'IDF Distributions'!$A$1:$A$290,0),MATCH('Bulk Tool'!G$5,'IDF Distributions'!$A$1:$AB$1,0))*INDEX($N$5:$N$11,MATCH(G$6,$L$5:$L$11,0))*IF($E$2="Depth (mm)",(1),IF($E$2="Intensity (mm/hr)",12,0))</f>
        <v>0.787119990895637</v>
      </c>
      <c r="H238" s="24">
        <f>INDEX('IDF Distributions'!$A$1:$AB$290,MATCH('Bulk Tool'!$A238,'IDF Distributions'!$A$1:$A$290,0),MATCH('Bulk Tool'!H$5,'IDF Distributions'!$A$1:$AB$1,0))*INDEX($N$5:$N$11,MATCH(H$6,$L$5:$L$11,0))*IF($E$2="Depth (mm)",(1),IF($E$2="Intensity (mm/hr)",12,0))</f>
        <v>0.88152741816631974</v>
      </c>
      <c r="I238" s="12" t="str">
        <f>IF(COUNTIF($H$7:H238,$H$7)&gt;1,"Do Not Copy","Copy")</f>
        <v>Copy</v>
      </c>
      <c r="L238"/>
      <c r="M238" s="2"/>
    </row>
    <row r="239" spans="1:13" x14ac:dyDescent="0.25">
      <c r="A239" s="128">
        <f t="shared" si="6"/>
        <v>0.80555555555555325</v>
      </c>
      <c r="B239" s="24">
        <f>INDEX('IDF Distributions'!$A$1:$AB$290,MATCH('Bulk Tool'!$A239,'IDF Distributions'!$A$1:$A$290,0),MATCH('Bulk Tool'!B$5,'IDF Distributions'!$A$1:$AB$1,0))*INDEX($N$5:$N$11,MATCH(B$6,$L$5:$L$11,0))*IF($E$2="Depth (mm)",(1),IF($E$2="Intensity (mm/hr)",12,0))</f>
        <v>0.31461203658260206</v>
      </c>
      <c r="C239" s="24">
        <f>INDEX('IDF Distributions'!$A$1:$AB$290,MATCH('Bulk Tool'!$A239,'IDF Distributions'!$A$1:$A$290,0),MATCH('Bulk Tool'!C$5,'IDF Distributions'!$A$1:$AB$1,0))*INDEX($N$5:$N$11,MATCH(C$6,$L$5:$L$11,0))*IF($E$2="Depth (mm)",(1),IF($E$2="Intensity (mm/hr)",12,0))</f>
        <v>0.41952398725269768</v>
      </c>
      <c r="D239" s="24">
        <f>INDEX('IDF Distributions'!$A$1:$AB$290,MATCH('Bulk Tool'!$A239,'IDF Distributions'!$A$1:$A$290,0),MATCH('Bulk Tool'!D$5,'IDF Distributions'!$A$1:$AB$1,0))*INDEX($N$5:$N$11,MATCH(D$6,$L$5:$L$11,0))*IF($E$2="Depth (mm)",(1),IF($E$2="Intensity (mm/hr)",12,0))</f>
        <v>0.49401354105739742</v>
      </c>
      <c r="E239" s="24">
        <f>INDEX('IDF Distributions'!$A$1:$AB$290,MATCH('Bulk Tool'!$A239,'IDF Distributions'!$A$1:$A$290,0),MATCH('Bulk Tool'!E$5,'IDF Distributions'!$A$1:$AB$1,0))*INDEX($N$5:$N$11,MATCH(E$6,$L$5:$L$11,0))*IF($E$2="Depth (mm)",(1),IF($E$2="Intensity (mm/hr)",12,0))</f>
        <v>0.59656334268237932</v>
      </c>
      <c r="F239" s="24">
        <f>INDEX('IDF Distributions'!$A$1:$AB$290,MATCH('Bulk Tool'!$A239,'IDF Distributions'!$A$1:$A$290,0),MATCH('Bulk Tool'!F$5,'IDF Distributions'!$A$1:$AB$1,0))*INDEX($N$5:$N$11,MATCH(F$6,$L$5:$L$11,0))*IF($E$2="Depth (mm)",(1),IF($E$2="Intensity (mm/hr)",12,0))</f>
        <v>0.67750349227346784</v>
      </c>
      <c r="G239" s="24">
        <f>INDEX('IDF Distributions'!$A$1:$AB$290,MATCH('Bulk Tool'!$A239,'IDF Distributions'!$A$1:$A$290,0),MATCH('Bulk Tool'!G$5,'IDF Distributions'!$A$1:$AB$1,0))*INDEX($N$5:$N$11,MATCH(G$6,$L$5:$L$11,0))*IF($E$2="Depth (mm)",(1),IF($E$2="Intensity (mm/hr)",12,0))</f>
        <v>0.76308579270035282</v>
      </c>
      <c r="H239" s="24">
        <f>INDEX('IDF Distributions'!$A$1:$AB$290,MATCH('Bulk Tool'!$A239,'IDF Distributions'!$A$1:$A$290,0),MATCH('Bulk Tool'!H$5,'IDF Distributions'!$A$1:$AB$1,0))*INDEX($N$5:$N$11,MATCH(H$6,$L$5:$L$11,0))*IF($E$2="Depth (mm)",(1),IF($E$2="Intensity (mm/hr)",12,0))</f>
        <v>0.85461055043605305</v>
      </c>
      <c r="I239" s="12" t="str">
        <f>IF(COUNTIF($H$7:H239,$H$7)&gt;1,"Do Not Copy","Copy")</f>
        <v>Copy</v>
      </c>
      <c r="L239"/>
      <c r="M239" s="2"/>
    </row>
    <row r="240" spans="1:13" x14ac:dyDescent="0.25">
      <c r="A240" s="128">
        <f t="shared" si="6"/>
        <v>0.80902777777777546</v>
      </c>
      <c r="B240" s="24">
        <f>INDEX('IDF Distributions'!$A$1:$AB$290,MATCH('Bulk Tool'!$A240,'IDF Distributions'!$A$1:$A$290,0),MATCH('Bulk Tool'!B$5,'IDF Distributions'!$A$1:$AB$1,0))*INDEX($N$5:$N$11,MATCH(B$6,$L$5:$L$11,0))*IF($E$2="Depth (mm)",(1),IF($E$2="Intensity (mm/hr)",12,0))</f>
        <v>0.31461203658260206</v>
      </c>
      <c r="C240" s="24">
        <f>INDEX('IDF Distributions'!$A$1:$AB$290,MATCH('Bulk Tool'!$A240,'IDF Distributions'!$A$1:$A$290,0),MATCH('Bulk Tool'!C$5,'IDF Distributions'!$A$1:$AB$1,0))*INDEX($N$5:$N$11,MATCH(C$6,$L$5:$L$11,0))*IF($E$2="Depth (mm)",(1),IF($E$2="Intensity (mm/hr)",12,0))</f>
        <v>0.41952398725269768</v>
      </c>
      <c r="D240" s="24">
        <f>INDEX('IDF Distributions'!$A$1:$AB$290,MATCH('Bulk Tool'!$A240,'IDF Distributions'!$A$1:$A$290,0),MATCH('Bulk Tool'!D$5,'IDF Distributions'!$A$1:$AB$1,0))*INDEX($N$5:$N$11,MATCH(D$6,$L$5:$L$11,0))*IF($E$2="Depth (mm)",(1),IF($E$2="Intensity (mm/hr)",12,0))</f>
        <v>0.49401354105739742</v>
      </c>
      <c r="E240" s="24">
        <f>INDEX('IDF Distributions'!$A$1:$AB$290,MATCH('Bulk Tool'!$A240,'IDF Distributions'!$A$1:$A$290,0),MATCH('Bulk Tool'!E$5,'IDF Distributions'!$A$1:$AB$1,0))*INDEX($N$5:$N$11,MATCH(E$6,$L$5:$L$11,0))*IF($E$2="Depth (mm)",(1),IF($E$2="Intensity (mm/hr)",12,0))</f>
        <v>0.59656334268237932</v>
      </c>
      <c r="F240" s="24">
        <f>INDEX('IDF Distributions'!$A$1:$AB$290,MATCH('Bulk Tool'!$A240,'IDF Distributions'!$A$1:$A$290,0),MATCH('Bulk Tool'!F$5,'IDF Distributions'!$A$1:$AB$1,0))*INDEX($N$5:$N$11,MATCH(F$6,$L$5:$L$11,0))*IF($E$2="Depth (mm)",(1),IF($E$2="Intensity (mm/hr)",12,0))</f>
        <v>0.67750349227346784</v>
      </c>
      <c r="G240" s="24">
        <f>INDEX('IDF Distributions'!$A$1:$AB$290,MATCH('Bulk Tool'!$A240,'IDF Distributions'!$A$1:$A$290,0),MATCH('Bulk Tool'!G$5,'IDF Distributions'!$A$1:$AB$1,0))*INDEX($N$5:$N$11,MATCH(G$6,$L$5:$L$11,0))*IF($E$2="Depth (mm)",(1),IF($E$2="Intensity (mm/hr)",12,0))</f>
        <v>0.76308579270035282</v>
      </c>
      <c r="H240" s="24">
        <f>INDEX('IDF Distributions'!$A$1:$AB$290,MATCH('Bulk Tool'!$A240,'IDF Distributions'!$A$1:$A$290,0),MATCH('Bulk Tool'!H$5,'IDF Distributions'!$A$1:$AB$1,0))*INDEX($N$5:$N$11,MATCH(H$6,$L$5:$L$11,0))*IF($E$2="Depth (mm)",(1),IF($E$2="Intensity (mm/hr)",12,0))</f>
        <v>0.85461055043605305</v>
      </c>
      <c r="I240" s="12" t="str">
        <f>IF(COUNTIF($H$7:H240,$H$7)&gt;1,"Do Not Copy","Copy")</f>
        <v>Copy</v>
      </c>
      <c r="L240"/>
      <c r="M240" s="2"/>
    </row>
    <row r="241" spans="1:13" x14ac:dyDescent="0.25">
      <c r="A241" s="128">
        <f t="shared" si="6"/>
        <v>0.81249999999999767</v>
      </c>
      <c r="B241" s="24">
        <f>INDEX('IDF Distributions'!$A$1:$AB$290,MATCH('Bulk Tool'!$A241,'IDF Distributions'!$A$1:$A$290,0),MATCH('Bulk Tool'!B$5,'IDF Distributions'!$A$1:$AB$1,0))*INDEX($N$5:$N$11,MATCH(B$6,$L$5:$L$11,0))*IF($E$2="Depth (mm)",(1),IF($E$2="Intensity (mm/hr)",12,0))</f>
        <v>0.32204381697431628</v>
      </c>
      <c r="C241" s="24">
        <f>INDEX('IDF Distributions'!$A$1:$AB$290,MATCH('Bulk Tool'!$A241,'IDF Distributions'!$A$1:$A$290,0),MATCH('Bulk Tool'!C$5,'IDF Distributions'!$A$1:$AB$1,0))*INDEX($N$5:$N$11,MATCH(C$6,$L$5:$L$11,0))*IF($E$2="Depth (mm)",(1),IF($E$2="Intensity (mm/hr)",12,0))</f>
        <v>0.4294340026996108</v>
      </c>
      <c r="D241" s="24">
        <f>INDEX('IDF Distributions'!$A$1:$AB$290,MATCH('Bulk Tool'!$A241,'IDF Distributions'!$A$1:$A$290,0),MATCH('Bulk Tool'!D$5,'IDF Distributions'!$A$1:$AB$1,0))*INDEX($N$5:$N$11,MATCH(D$6,$L$5:$L$11,0))*IF($E$2="Depth (mm)",(1),IF($E$2="Intensity (mm/hr)",12,0))</f>
        <v>0.50568315226347649</v>
      </c>
      <c r="E241" s="24">
        <f>INDEX('IDF Distributions'!$A$1:$AB$290,MATCH('Bulk Tool'!$A241,'IDF Distributions'!$A$1:$A$290,0),MATCH('Bulk Tool'!E$5,'IDF Distributions'!$A$1:$AB$1,0))*INDEX($N$5:$N$11,MATCH(E$6,$L$5:$L$11,0))*IF($E$2="Depth (mm)",(1),IF($E$2="Intensity (mm/hr)",12,0))</f>
        <v>0.61065539014731596</v>
      </c>
      <c r="F241" s="24">
        <f>INDEX('IDF Distributions'!$A$1:$AB$290,MATCH('Bulk Tool'!$A241,'IDF Distributions'!$A$1:$A$290,0),MATCH('Bulk Tool'!F$5,'IDF Distributions'!$A$1:$AB$1,0))*INDEX($N$5:$N$11,MATCH(F$6,$L$5:$L$11,0))*IF($E$2="Depth (mm)",(1),IF($E$2="Intensity (mm/hr)",12,0))</f>
        <v>0.69350751177598902</v>
      </c>
      <c r="G241" s="24">
        <f>INDEX('IDF Distributions'!$A$1:$AB$290,MATCH('Bulk Tool'!$A241,'IDF Distributions'!$A$1:$A$290,0),MATCH('Bulk Tool'!G$5,'IDF Distributions'!$A$1:$AB$1,0))*INDEX($N$5:$N$11,MATCH(G$6,$L$5:$L$11,0))*IF($E$2="Depth (mm)",(1),IF($E$2="Intensity (mm/hr)",12,0))</f>
        <v>0.78111144134681587</v>
      </c>
      <c r="H241" s="24">
        <f>INDEX('IDF Distributions'!$A$1:$AB$290,MATCH('Bulk Tool'!$A241,'IDF Distributions'!$A$1:$A$290,0),MATCH('Bulk Tool'!H$5,'IDF Distributions'!$A$1:$AB$1,0))*INDEX($N$5:$N$11,MATCH(H$6,$L$5:$L$11,0))*IF($E$2="Depth (mm)",(1),IF($E$2="Intensity (mm/hr)",12,0))</f>
        <v>0.87479820123375296</v>
      </c>
      <c r="I241" s="12" t="str">
        <f>IF(COUNTIF($H$7:H241,$H$7)&gt;1,"Do Not Copy","Copy")</f>
        <v>Copy</v>
      </c>
      <c r="L241"/>
      <c r="M241" s="2"/>
    </row>
    <row r="242" spans="1:13" x14ac:dyDescent="0.25">
      <c r="A242" s="128">
        <f t="shared" si="6"/>
        <v>0.81597222222221988</v>
      </c>
      <c r="B242" s="24">
        <f>INDEX('IDF Distributions'!$A$1:$AB$290,MATCH('Bulk Tool'!$A242,'IDF Distributions'!$A$1:$A$290,0),MATCH('Bulk Tool'!B$5,'IDF Distributions'!$A$1:$AB$1,0))*INDEX($N$5:$N$11,MATCH(B$6,$L$5:$L$11,0))*IF($E$2="Depth (mm)",(1),IF($E$2="Intensity (mm/hr)",12,0))</f>
        <v>0.32204381697431628</v>
      </c>
      <c r="C242" s="24">
        <f>INDEX('IDF Distributions'!$A$1:$AB$290,MATCH('Bulk Tool'!$A242,'IDF Distributions'!$A$1:$A$290,0),MATCH('Bulk Tool'!C$5,'IDF Distributions'!$A$1:$AB$1,0))*INDEX($N$5:$N$11,MATCH(C$6,$L$5:$L$11,0))*IF($E$2="Depth (mm)",(1),IF($E$2="Intensity (mm/hr)",12,0))</f>
        <v>0.4294340026996108</v>
      </c>
      <c r="D242" s="24">
        <f>INDEX('IDF Distributions'!$A$1:$AB$290,MATCH('Bulk Tool'!$A242,'IDF Distributions'!$A$1:$A$290,0),MATCH('Bulk Tool'!D$5,'IDF Distributions'!$A$1:$AB$1,0))*INDEX($N$5:$N$11,MATCH(D$6,$L$5:$L$11,0))*IF($E$2="Depth (mm)",(1),IF($E$2="Intensity (mm/hr)",12,0))</f>
        <v>0.50568315226347649</v>
      </c>
      <c r="E242" s="24">
        <f>INDEX('IDF Distributions'!$A$1:$AB$290,MATCH('Bulk Tool'!$A242,'IDF Distributions'!$A$1:$A$290,0),MATCH('Bulk Tool'!E$5,'IDF Distributions'!$A$1:$AB$1,0))*INDEX($N$5:$N$11,MATCH(E$6,$L$5:$L$11,0))*IF($E$2="Depth (mm)",(1),IF($E$2="Intensity (mm/hr)",12,0))</f>
        <v>0.61065539014731596</v>
      </c>
      <c r="F242" s="24">
        <f>INDEX('IDF Distributions'!$A$1:$AB$290,MATCH('Bulk Tool'!$A242,'IDF Distributions'!$A$1:$A$290,0),MATCH('Bulk Tool'!F$5,'IDF Distributions'!$A$1:$AB$1,0))*INDEX($N$5:$N$11,MATCH(F$6,$L$5:$L$11,0))*IF($E$2="Depth (mm)",(1),IF($E$2="Intensity (mm/hr)",12,0))</f>
        <v>0.69350751177598902</v>
      </c>
      <c r="G242" s="24">
        <f>INDEX('IDF Distributions'!$A$1:$AB$290,MATCH('Bulk Tool'!$A242,'IDF Distributions'!$A$1:$A$290,0),MATCH('Bulk Tool'!G$5,'IDF Distributions'!$A$1:$AB$1,0))*INDEX($N$5:$N$11,MATCH(G$6,$L$5:$L$11,0))*IF($E$2="Depth (mm)",(1),IF($E$2="Intensity (mm/hr)",12,0))</f>
        <v>0.78111144134681587</v>
      </c>
      <c r="H242" s="24">
        <f>INDEX('IDF Distributions'!$A$1:$AB$290,MATCH('Bulk Tool'!$A242,'IDF Distributions'!$A$1:$A$290,0),MATCH('Bulk Tool'!H$5,'IDF Distributions'!$A$1:$AB$1,0))*INDEX($N$5:$N$11,MATCH(H$6,$L$5:$L$11,0))*IF($E$2="Depth (mm)",(1),IF($E$2="Intensity (mm/hr)",12,0))</f>
        <v>0.87479820123375296</v>
      </c>
      <c r="I242" s="12" t="str">
        <f>IF(COUNTIF($H$7:H242,$H$7)&gt;1,"Do Not Copy","Copy")</f>
        <v>Copy</v>
      </c>
      <c r="L242"/>
      <c r="M242" s="2"/>
    </row>
    <row r="243" spans="1:13" x14ac:dyDescent="0.25">
      <c r="A243" s="128">
        <f t="shared" si="6"/>
        <v>0.81944444444444209</v>
      </c>
      <c r="B243" s="24">
        <f>INDEX('IDF Distributions'!$A$1:$AB$290,MATCH('Bulk Tool'!$A243,'IDF Distributions'!$A$1:$A$290,0),MATCH('Bulk Tool'!B$5,'IDF Distributions'!$A$1:$AB$1,0))*INDEX($N$5:$N$11,MATCH(B$6,$L$5:$L$11,0))*IF($E$2="Depth (mm)",(1),IF($E$2="Intensity (mm/hr)",12,0))</f>
        <v>0.30965751632145921</v>
      </c>
      <c r="C243" s="24">
        <f>INDEX('IDF Distributions'!$A$1:$AB$290,MATCH('Bulk Tool'!$A243,'IDF Distributions'!$A$1:$A$290,0),MATCH('Bulk Tool'!C$5,'IDF Distributions'!$A$1:$AB$1,0))*INDEX($N$5:$N$11,MATCH(C$6,$L$5:$L$11,0))*IF($E$2="Depth (mm)",(1),IF($E$2="Intensity (mm/hr)",12,0))</f>
        <v>0.41291731028808898</v>
      </c>
      <c r="D243" s="24">
        <f>INDEX('IDF Distributions'!$A$1:$AB$290,MATCH('Bulk Tool'!$A243,'IDF Distributions'!$A$1:$A$290,0),MATCH('Bulk Tool'!D$5,'IDF Distributions'!$A$1:$AB$1,0))*INDEX($N$5:$N$11,MATCH(D$6,$L$5:$L$11,0))*IF($E$2="Depth (mm)",(1),IF($E$2="Intensity (mm/hr)",12,0))</f>
        <v>0.48623380025334473</v>
      </c>
      <c r="E243" s="24">
        <f>INDEX('IDF Distributions'!$A$1:$AB$290,MATCH('Bulk Tool'!$A243,'IDF Distributions'!$A$1:$A$290,0),MATCH('Bulk Tool'!E$5,'IDF Distributions'!$A$1:$AB$1,0))*INDEX($N$5:$N$11,MATCH(E$6,$L$5:$L$11,0))*IF($E$2="Depth (mm)",(1),IF($E$2="Intensity (mm/hr)",12,0))</f>
        <v>0.58716864437242167</v>
      </c>
      <c r="F243" s="24">
        <f>INDEX('IDF Distributions'!$A$1:$AB$290,MATCH('Bulk Tool'!$A243,'IDF Distributions'!$A$1:$A$290,0),MATCH('Bulk Tool'!F$5,'IDF Distributions'!$A$1:$AB$1,0))*INDEX($N$5:$N$11,MATCH(F$6,$L$5:$L$11,0))*IF($E$2="Depth (mm)",(1),IF($E$2="Intensity (mm/hr)",12,0))</f>
        <v>0.66683414593845369</v>
      </c>
      <c r="G243" s="24">
        <f>INDEX('IDF Distributions'!$A$1:$AB$290,MATCH('Bulk Tool'!$A243,'IDF Distributions'!$A$1:$A$290,0),MATCH('Bulk Tool'!G$5,'IDF Distributions'!$A$1:$AB$1,0))*INDEX($N$5:$N$11,MATCH(G$6,$L$5:$L$11,0))*IF($E$2="Depth (mm)",(1),IF($E$2="Intensity (mm/hr)",12,0))</f>
        <v>0.75106869360271067</v>
      </c>
      <c r="H243" s="24">
        <f>INDEX('IDF Distributions'!$A$1:$AB$290,MATCH('Bulk Tool'!$A243,'IDF Distributions'!$A$1:$A$290,0),MATCH('Bulk Tool'!H$5,'IDF Distributions'!$A$1:$AB$1,0))*INDEX($N$5:$N$11,MATCH(H$6,$L$5:$L$11,0))*IF($E$2="Depth (mm)",(1),IF($E$2="Intensity (mm/hr)",12,0))</f>
        <v>0.84115211657091982</v>
      </c>
      <c r="I243" s="12" t="str">
        <f>IF(COUNTIF($H$7:H243,$H$7)&gt;1,"Do Not Copy","Copy")</f>
        <v>Copy</v>
      </c>
      <c r="L243"/>
      <c r="M243" s="2"/>
    </row>
    <row r="244" spans="1:13" x14ac:dyDescent="0.25">
      <c r="A244" s="128">
        <f t="shared" si="6"/>
        <v>0.8229166666666643</v>
      </c>
      <c r="B244" s="24">
        <f>INDEX('IDF Distributions'!$A$1:$AB$290,MATCH('Bulk Tool'!$A244,'IDF Distributions'!$A$1:$A$290,0),MATCH('Bulk Tool'!B$5,'IDF Distributions'!$A$1:$AB$1,0))*INDEX($N$5:$N$11,MATCH(B$6,$L$5:$L$11,0))*IF($E$2="Depth (mm)",(1),IF($E$2="Intensity (mm/hr)",12,0))</f>
        <v>0.30965751632145921</v>
      </c>
      <c r="C244" s="24">
        <f>INDEX('IDF Distributions'!$A$1:$AB$290,MATCH('Bulk Tool'!$A244,'IDF Distributions'!$A$1:$A$290,0),MATCH('Bulk Tool'!C$5,'IDF Distributions'!$A$1:$AB$1,0))*INDEX($N$5:$N$11,MATCH(C$6,$L$5:$L$11,0))*IF($E$2="Depth (mm)",(1),IF($E$2="Intensity (mm/hr)",12,0))</f>
        <v>0.41291731028808898</v>
      </c>
      <c r="D244" s="24">
        <f>INDEX('IDF Distributions'!$A$1:$AB$290,MATCH('Bulk Tool'!$A244,'IDF Distributions'!$A$1:$A$290,0),MATCH('Bulk Tool'!D$5,'IDF Distributions'!$A$1:$AB$1,0))*INDEX($N$5:$N$11,MATCH(D$6,$L$5:$L$11,0))*IF($E$2="Depth (mm)",(1),IF($E$2="Intensity (mm/hr)",12,0))</f>
        <v>0.48623380025334473</v>
      </c>
      <c r="E244" s="24">
        <f>INDEX('IDF Distributions'!$A$1:$AB$290,MATCH('Bulk Tool'!$A244,'IDF Distributions'!$A$1:$A$290,0),MATCH('Bulk Tool'!E$5,'IDF Distributions'!$A$1:$AB$1,0))*INDEX($N$5:$N$11,MATCH(E$6,$L$5:$L$11,0))*IF($E$2="Depth (mm)",(1),IF($E$2="Intensity (mm/hr)",12,0))</f>
        <v>0.58716864437242167</v>
      </c>
      <c r="F244" s="24">
        <f>INDEX('IDF Distributions'!$A$1:$AB$290,MATCH('Bulk Tool'!$A244,'IDF Distributions'!$A$1:$A$290,0),MATCH('Bulk Tool'!F$5,'IDF Distributions'!$A$1:$AB$1,0))*INDEX($N$5:$N$11,MATCH(F$6,$L$5:$L$11,0))*IF($E$2="Depth (mm)",(1),IF($E$2="Intensity (mm/hr)",12,0))</f>
        <v>0.66683414593845369</v>
      </c>
      <c r="G244" s="24">
        <f>INDEX('IDF Distributions'!$A$1:$AB$290,MATCH('Bulk Tool'!$A244,'IDF Distributions'!$A$1:$A$290,0),MATCH('Bulk Tool'!G$5,'IDF Distributions'!$A$1:$AB$1,0))*INDEX($N$5:$N$11,MATCH(G$6,$L$5:$L$11,0))*IF($E$2="Depth (mm)",(1),IF($E$2="Intensity (mm/hr)",12,0))</f>
        <v>0.75106869360271067</v>
      </c>
      <c r="H244" s="24">
        <f>INDEX('IDF Distributions'!$A$1:$AB$290,MATCH('Bulk Tool'!$A244,'IDF Distributions'!$A$1:$A$290,0),MATCH('Bulk Tool'!H$5,'IDF Distributions'!$A$1:$AB$1,0))*INDEX($N$5:$N$11,MATCH(H$6,$L$5:$L$11,0))*IF($E$2="Depth (mm)",(1),IF($E$2="Intensity (mm/hr)",12,0))</f>
        <v>0.84115211657091982</v>
      </c>
      <c r="I244" s="12" t="str">
        <f>IF(COUNTIF($H$7:H244,$H$7)&gt;1,"Do Not Copy","Copy")</f>
        <v>Copy</v>
      </c>
      <c r="L244"/>
      <c r="M244" s="2"/>
    </row>
    <row r="245" spans="1:13" x14ac:dyDescent="0.25">
      <c r="A245" s="128">
        <f t="shared" si="6"/>
        <v>0.82638888888888651</v>
      </c>
      <c r="B245" s="24">
        <f>INDEX('IDF Distributions'!$A$1:$AB$290,MATCH('Bulk Tool'!$A245,'IDF Distributions'!$A$1:$A$290,0),MATCH('Bulk Tool'!B$5,'IDF Distributions'!$A$1:$AB$1,0))*INDEX($N$5:$N$11,MATCH(B$6,$L$5:$L$11,0))*IF($E$2="Depth (mm)",(1),IF($E$2="Intensity (mm/hr)",12,0))</f>
        <v>0.30965751632145921</v>
      </c>
      <c r="C245" s="24">
        <f>INDEX('IDF Distributions'!$A$1:$AB$290,MATCH('Bulk Tool'!$A245,'IDF Distributions'!$A$1:$A$290,0),MATCH('Bulk Tool'!C$5,'IDF Distributions'!$A$1:$AB$1,0))*INDEX($N$5:$N$11,MATCH(C$6,$L$5:$L$11,0))*IF($E$2="Depth (mm)",(1),IF($E$2="Intensity (mm/hr)",12,0))</f>
        <v>0.41291731028808898</v>
      </c>
      <c r="D245" s="24">
        <f>INDEX('IDF Distributions'!$A$1:$AB$290,MATCH('Bulk Tool'!$A245,'IDF Distributions'!$A$1:$A$290,0),MATCH('Bulk Tool'!D$5,'IDF Distributions'!$A$1:$AB$1,0))*INDEX($N$5:$N$11,MATCH(D$6,$L$5:$L$11,0))*IF($E$2="Depth (mm)",(1),IF($E$2="Intensity (mm/hr)",12,0))</f>
        <v>0.48623380025334473</v>
      </c>
      <c r="E245" s="24">
        <f>INDEX('IDF Distributions'!$A$1:$AB$290,MATCH('Bulk Tool'!$A245,'IDF Distributions'!$A$1:$A$290,0),MATCH('Bulk Tool'!E$5,'IDF Distributions'!$A$1:$AB$1,0))*INDEX($N$5:$N$11,MATCH(E$6,$L$5:$L$11,0))*IF($E$2="Depth (mm)",(1),IF($E$2="Intensity (mm/hr)",12,0))</f>
        <v>0.58716864437242167</v>
      </c>
      <c r="F245" s="24">
        <f>INDEX('IDF Distributions'!$A$1:$AB$290,MATCH('Bulk Tool'!$A245,'IDF Distributions'!$A$1:$A$290,0),MATCH('Bulk Tool'!F$5,'IDF Distributions'!$A$1:$AB$1,0))*INDEX($N$5:$N$11,MATCH(F$6,$L$5:$L$11,0))*IF($E$2="Depth (mm)",(1),IF($E$2="Intensity (mm/hr)",12,0))</f>
        <v>0.66683414593845369</v>
      </c>
      <c r="G245" s="24">
        <f>INDEX('IDF Distributions'!$A$1:$AB$290,MATCH('Bulk Tool'!$A245,'IDF Distributions'!$A$1:$A$290,0),MATCH('Bulk Tool'!G$5,'IDF Distributions'!$A$1:$AB$1,0))*INDEX($N$5:$N$11,MATCH(G$6,$L$5:$L$11,0))*IF($E$2="Depth (mm)",(1),IF($E$2="Intensity (mm/hr)",12,0))</f>
        <v>0.75106869360271067</v>
      </c>
      <c r="H245" s="24">
        <f>INDEX('IDF Distributions'!$A$1:$AB$290,MATCH('Bulk Tool'!$A245,'IDF Distributions'!$A$1:$A$290,0),MATCH('Bulk Tool'!H$5,'IDF Distributions'!$A$1:$AB$1,0))*INDEX($N$5:$N$11,MATCH(H$6,$L$5:$L$11,0))*IF($E$2="Depth (mm)",(1),IF($E$2="Intensity (mm/hr)",12,0))</f>
        <v>0.84115211657091982</v>
      </c>
      <c r="I245" s="12" t="str">
        <f>IF(COUNTIF($H$7:H245,$H$7)&gt;1,"Do Not Copy","Copy")</f>
        <v>Copy</v>
      </c>
      <c r="L245"/>
      <c r="M245" s="2"/>
    </row>
    <row r="246" spans="1:13" x14ac:dyDescent="0.25">
      <c r="A246" s="128">
        <f t="shared" si="6"/>
        <v>0.82986111111110872</v>
      </c>
      <c r="B246" s="24">
        <f>INDEX('IDF Distributions'!$A$1:$AB$290,MATCH('Bulk Tool'!$A246,'IDF Distributions'!$A$1:$A$290,0),MATCH('Bulk Tool'!B$5,'IDF Distributions'!$A$1:$AB$1,0))*INDEX($N$5:$N$11,MATCH(B$6,$L$5:$L$11,0))*IF($E$2="Depth (mm)",(1),IF($E$2="Intensity (mm/hr)",12,0))</f>
        <v>0.3096575163214757</v>
      </c>
      <c r="C246" s="24">
        <f>INDEX('IDF Distributions'!$A$1:$AB$290,MATCH('Bulk Tool'!$A246,'IDF Distributions'!$A$1:$A$290,0),MATCH('Bulk Tool'!C$5,'IDF Distributions'!$A$1:$AB$1,0))*INDEX($N$5:$N$11,MATCH(C$6,$L$5:$L$11,0))*IF($E$2="Depth (mm)",(1),IF($E$2="Intensity (mm/hr)",12,0))</f>
        <v>0.41291731028811096</v>
      </c>
      <c r="D246" s="24">
        <f>INDEX('IDF Distributions'!$A$1:$AB$290,MATCH('Bulk Tool'!$A246,'IDF Distributions'!$A$1:$A$290,0),MATCH('Bulk Tool'!D$5,'IDF Distributions'!$A$1:$AB$1,0))*INDEX($N$5:$N$11,MATCH(D$6,$L$5:$L$11,0))*IF($E$2="Depth (mm)",(1),IF($E$2="Intensity (mm/hr)",12,0))</f>
        <v>0.4862338002533706</v>
      </c>
      <c r="E246" s="24">
        <f>INDEX('IDF Distributions'!$A$1:$AB$290,MATCH('Bulk Tool'!$A246,'IDF Distributions'!$A$1:$A$290,0),MATCH('Bulk Tool'!E$5,'IDF Distributions'!$A$1:$AB$1,0))*INDEX($N$5:$N$11,MATCH(E$6,$L$5:$L$11,0))*IF($E$2="Depth (mm)",(1),IF($E$2="Intensity (mm/hr)",12,0))</f>
        <v>0.58716864437245297</v>
      </c>
      <c r="F246" s="24">
        <f>INDEX('IDF Distributions'!$A$1:$AB$290,MATCH('Bulk Tool'!$A246,'IDF Distributions'!$A$1:$A$290,0),MATCH('Bulk Tool'!F$5,'IDF Distributions'!$A$1:$AB$1,0))*INDEX($N$5:$N$11,MATCH(F$6,$L$5:$L$11,0))*IF($E$2="Depth (mm)",(1),IF($E$2="Intensity (mm/hr)",12,0))</f>
        <v>0.66683414593848922</v>
      </c>
      <c r="G246" s="24">
        <f>INDEX('IDF Distributions'!$A$1:$AB$290,MATCH('Bulk Tool'!$A246,'IDF Distributions'!$A$1:$A$290,0),MATCH('Bulk Tool'!G$5,'IDF Distributions'!$A$1:$AB$1,0))*INDEX($N$5:$N$11,MATCH(G$6,$L$5:$L$11,0))*IF($E$2="Depth (mm)",(1),IF($E$2="Intensity (mm/hr)",12,0))</f>
        <v>0.75106869360275086</v>
      </c>
      <c r="H246" s="24">
        <f>INDEX('IDF Distributions'!$A$1:$AB$290,MATCH('Bulk Tool'!$A246,'IDF Distributions'!$A$1:$A$290,0),MATCH('Bulk Tool'!H$5,'IDF Distributions'!$A$1:$AB$1,0))*INDEX($N$5:$N$11,MATCH(H$6,$L$5:$L$11,0))*IF($E$2="Depth (mm)",(1),IF($E$2="Intensity (mm/hr)",12,0))</f>
        <v>0.84115211657096456</v>
      </c>
      <c r="I246" s="12" t="str">
        <f>IF(COUNTIF($H$7:H246,$H$7)&gt;1,"Do Not Copy","Copy")</f>
        <v>Copy</v>
      </c>
      <c r="L246"/>
      <c r="M246" s="2"/>
    </row>
    <row r="247" spans="1:13" x14ac:dyDescent="0.25">
      <c r="A247" s="128">
        <f t="shared" si="6"/>
        <v>0.83333333333333093</v>
      </c>
      <c r="B247" s="24">
        <f>INDEX('IDF Distributions'!$A$1:$AB$290,MATCH('Bulk Tool'!$A247,'IDF Distributions'!$A$1:$A$290,0),MATCH('Bulk Tool'!B$5,'IDF Distributions'!$A$1:$AB$1,0))*INDEX($N$5:$N$11,MATCH(B$6,$L$5:$L$11,0))*IF($E$2="Depth (mm)",(1),IF($E$2="Intensity (mm/hr)",12,0))</f>
        <v>0.30965751632144273</v>
      </c>
      <c r="C247" s="24">
        <f>INDEX('IDF Distributions'!$A$1:$AB$290,MATCH('Bulk Tool'!$A247,'IDF Distributions'!$A$1:$A$290,0),MATCH('Bulk Tool'!C$5,'IDF Distributions'!$A$1:$AB$1,0))*INDEX($N$5:$N$11,MATCH(C$6,$L$5:$L$11,0))*IF($E$2="Depth (mm)",(1),IF($E$2="Intensity (mm/hr)",12,0))</f>
        <v>0.41291731028806694</v>
      </c>
      <c r="D247" s="24">
        <f>INDEX('IDF Distributions'!$A$1:$AB$290,MATCH('Bulk Tool'!$A247,'IDF Distributions'!$A$1:$A$290,0),MATCH('Bulk Tool'!D$5,'IDF Distributions'!$A$1:$AB$1,0))*INDEX($N$5:$N$11,MATCH(D$6,$L$5:$L$11,0))*IF($E$2="Depth (mm)",(1),IF($E$2="Intensity (mm/hr)",12,0))</f>
        <v>0.4862338002533188</v>
      </c>
      <c r="E247" s="24">
        <f>INDEX('IDF Distributions'!$A$1:$AB$290,MATCH('Bulk Tool'!$A247,'IDF Distributions'!$A$1:$A$290,0),MATCH('Bulk Tool'!E$5,'IDF Distributions'!$A$1:$AB$1,0))*INDEX($N$5:$N$11,MATCH(E$6,$L$5:$L$11,0))*IF($E$2="Depth (mm)",(1),IF($E$2="Intensity (mm/hr)",12,0))</f>
        <v>0.58716864437239036</v>
      </c>
      <c r="F247" s="24">
        <f>INDEX('IDF Distributions'!$A$1:$AB$290,MATCH('Bulk Tool'!$A247,'IDF Distributions'!$A$1:$A$290,0),MATCH('Bulk Tool'!F$5,'IDF Distributions'!$A$1:$AB$1,0))*INDEX($N$5:$N$11,MATCH(F$6,$L$5:$L$11,0))*IF($E$2="Depth (mm)",(1),IF($E$2="Intensity (mm/hr)",12,0))</f>
        <v>0.66683414593841817</v>
      </c>
      <c r="G247" s="24">
        <f>INDEX('IDF Distributions'!$A$1:$AB$290,MATCH('Bulk Tool'!$A247,'IDF Distributions'!$A$1:$A$290,0),MATCH('Bulk Tool'!G$5,'IDF Distributions'!$A$1:$AB$1,0))*INDEX($N$5:$N$11,MATCH(G$6,$L$5:$L$11,0))*IF($E$2="Depth (mm)",(1),IF($E$2="Intensity (mm/hr)",12,0))</f>
        <v>0.7510686936026707</v>
      </c>
      <c r="H247" s="24">
        <f>INDEX('IDF Distributions'!$A$1:$AB$290,MATCH('Bulk Tool'!$A247,'IDF Distributions'!$A$1:$A$290,0),MATCH('Bulk Tool'!H$5,'IDF Distributions'!$A$1:$AB$1,0))*INDEX($N$5:$N$11,MATCH(H$6,$L$5:$L$11,0))*IF($E$2="Depth (mm)",(1),IF($E$2="Intensity (mm/hr)",12,0))</f>
        <v>0.84115211657087507</v>
      </c>
      <c r="I247" s="12" t="str">
        <f>IF(COUNTIF($H$7:H247,$H$7)&gt;1,"Do Not Copy","Copy")</f>
        <v>Copy</v>
      </c>
      <c r="L247"/>
      <c r="M247" s="2"/>
    </row>
    <row r="248" spans="1:13" x14ac:dyDescent="0.25">
      <c r="A248" s="128">
        <f t="shared" si="6"/>
        <v>0.83680555555555314</v>
      </c>
      <c r="B248" s="24">
        <f>INDEX('IDF Distributions'!$A$1:$AB$290,MATCH('Bulk Tool'!$A248,'IDF Distributions'!$A$1:$A$290,0),MATCH('Bulk Tool'!B$5,'IDF Distributions'!$A$1:$AB$1,0))*INDEX($N$5:$N$11,MATCH(B$6,$L$5:$L$11,0))*IF($E$2="Depth (mm)",(1),IF($E$2="Intensity (mm/hr)",12,0))</f>
        <v>0.3096575163214757</v>
      </c>
      <c r="C248" s="24">
        <f>INDEX('IDF Distributions'!$A$1:$AB$290,MATCH('Bulk Tool'!$A248,'IDF Distributions'!$A$1:$A$290,0),MATCH('Bulk Tool'!C$5,'IDF Distributions'!$A$1:$AB$1,0))*INDEX($N$5:$N$11,MATCH(C$6,$L$5:$L$11,0))*IF($E$2="Depth (mm)",(1),IF($E$2="Intensity (mm/hr)",12,0))</f>
        <v>0.41291731028811096</v>
      </c>
      <c r="D248" s="24">
        <f>INDEX('IDF Distributions'!$A$1:$AB$290,MATCH('Bulk Tool'!$A248,'IDF Distributions'!$A$1:$A$290,0),MATCH('Bulk Tool'!D$5,'IDF Distributions'!$A$1:$AB$1,0))*INDEX($N$5:$N$11,MATCH(D$6,$L$5:$L$11,0))*IF($E$2="Depth (mm)",(1),IF($E$2="Intensity (mm/hr)",12,0))</f>
        <v>0.4862338002533706</v>
      </c>
      <c r="E248" s="24">
        <f>INDEX('IDF Distributions'!$A$1:$AB$290,MATCH('Bulk Tool'!$A248,'IDF Distributions'!$A$1:$A$290,0),MATCH('Bulk Tool'!E$5,'IDF Distributions'!$A$1:$AB$1,0))*INDEX($N$5:$N$11,MATCH(E$6,$L$5:$L$11,0))*IF($E$2="Depth (mm)",(1),IF($E$2="Intensity (mm/hr)",12,0))</f>
        <v>0.58716864437245297</v>
      </c>
      <c r="F248" s="24">
        <f>INDEX('IDF Distributions'!$A$1:$AB$290,MATCH('Bulk Tool'!$A248,'IDF Distributions'!$A$1:$A$290,0),MATCH('Bulk Tool'!F$5,'IDF Distributions'!$A$1:$AB$1,0))*INDEX($N$5:$N$11,MATCH(F$6,$L$5:$L$11,0))*IF($E$2="Depth (mm)",(1),IF($E$2="Intensity (mm/hr)",12,0))</f>
        <v>0.66683414593848922</v>
      </c>
      <c r="G248" s="24">
        <f>INDEX('IDF Distributions'!$A$1:$AB$290,MATCH('Bulk Tool'!$A248,'IDF Distributions'!$A$1:$A$290,0),MATCH('Bulk Tool'!G$5,'IDF Distributions'!$A$1:$AB$1,0))*INDEX($N$5:$N$11,MATCH(G$6,$L$5:$L$11,0))*IF($E$2="Depth (mm)",(1),IF($E$2="Intensity (mm/hr)",12,0))</f>
        <v>0.75106869360275086</v>
      </c>
      <c r="H248" s="24">
        <f>INDEX('IDF Distributions'!$A$1:$AB$290,MATCH('Bulk Tool'!$A248,'IDF Distributions'!$A$1:$A$290,0),MATCH('Bulk Tool'!H$5,'IDF Distributions'!$A$1:$AB$1,0))*INDEX($N$5:$N$11,MATCH(H$6,$L$5:$L$11,0))*IF($E$2="Depth (mm)",(1),IF($E$2="Intensity (mm/hr)",12,0))</f>
        <v>0.84115211657096456</v>
      </c>
      <c r="I248" s="12" t="str">
        <f>IF(COUNTIF($H$7:H248,$H$7)&gt;1,"Do Not Copy","Copy")</f>
        <v>Copy</v>
      </c>
      <c r="L248"/>
      <c r="M248" s="2"/>
    </row>
    <row r="249" spans="1:13" x14ac:dyDescent="0.25">
      <c r="A249" s="128">
        <f t="shared" si="6"/>
        <v>0.84027777777777535</v>
      </c>
      <c r="B249" s="24">
        <f>INDEX('IDF Distributions'!$A$1:$AB$290,MATCH('Bulk Tool'!$A249,'IDF Distributions'!$A$1:$A$290,0),MATCH('Bulk Tool'!B$5,'IDF Distributions'!$A$1:$AB$1,0))*INDEX($N$5:$N$11,MATCH(B$6,$L$5:$L$11,0))*IF($E$2="Depth (mm)",(1),IF($E$2="Intensity (mm/hr)",12,0))</f>
        <v>0.30965751632145921</v>
      </c>
      <c r="C249" s="24">
        <f>INDEX('IDF Distributions'!$A$1:$AB$290,MATCH('Bulk Tool'!$A249,'IDF Distributions'!$A$1:$A$290,0),MATCH('Bulk Tool'!C$5,'IDF Distributions'!$A$1:$AB$1,0))*INDEX($N$5:$N$11,MATCH(C$6,$L$5:$L$11,0))*IF($E$2="Depth (mm)",(1),IF($E$2="Intensity (mm/hr)",12,0))</f>
        <v>0.41291731028808898</v>
      </c>
      <c r="D249" s="24">
        <f>INDEX('IDF Distributions'!$A$1:$AB$290,MATCH('Bulk Tool'!$A249,'IDF Distributions'!$A$1:$A$290,0),MATCH('Bulk Tool'!D$5,'IDF Distributions'!$A$1:$AB$1,0))*INDEX($N$5:$N$11,MATCH(D$6,$L$5:$L$11,0))*IF($E$2="Depth (mm)",(1),IF($E$2="Intensity (mm/hr)",12,0))</f>
        <v>0.48623380025334473</v>
      </c>
      <c r="E249" s="24">
        <f>INDEX('IDF Distributions'!$A$1:$AB$290,MATCH('Bulk Tool'!$A249,'IDF Distributions'!$A$1:$A$290,0),MATCH('Bulk Tool'!E$5,'IDF Distributions'!$A$1:$AB$1,0))*INDEX($N$5:$N$11,MATCH(E$6,$L$5:$L$11,0))*IF($E$2="Depth (mm)",(1),IF($E$2="Intensity (mm/hr)",12,0))</f>
        <v>0.58716864437242167</v>
      </c>
      <c r="F249" s="24">
        <f>INDEX('IDF Distributions'!$A$1:$AB$290,MATCH('Bulk Tool'!$A249,'IDF Distributions'!$A$1:$A$290,0),MATCH('Bulk Tool'!F$5,'IDF Distributions'!$A$1:$AB$1,0))*INDEX($N$5:$N$11,MATCH(F$6,$L$5:$L$11,0))*IF($E$2="Depth (mm)",(1),IF($E$2="Intensity (mm/hr)",12,0))</f>
        <v>0.66683414593845369</v>
      </c>
      <c r="G249" s="24">
        <f>INDEX('IDF Distributions'!$A$1:$AB$290,MATCH('Bulk Tool'!$A249,'IDF Distributions'!$A$1:$A$290,0),MATCH('Bulk Tool'!G$5,'IDF Distributions'!$A$1:$AB$1,0))*INDEX($N$5:$N$11,MATCH(G$6,$L$5:$L$11,0))*IF($E$2="Depth (mm)",(1),IF($E$2="Intensity (mm/hr)",12,0))</f>
        <v>0.75106869360271067</v>
      </c>
      <c r="H249" s="24">
        <f>INDEX('IDF Distributions'!$A$1:$AB$290,MATCH('Bulk Tool'!$A249,'IDF Distributions'!$A$1:$A$290,0),MATCH('Bulk Tool'!H$5,'IDF Distributions'!$A$1:$AB$1,0))*INDEX($N$5:$N$11,MATCH(H$6,$L$5:$L$11,0))*IF($E$2="Depth (mm)",(1),IF($E$2="Intensity (mm/hr)",12,0))</f>
        <v>0.84115211657091982</v>
      </c>
      <c r="I249" s="12" t="str">
        <f>IF(COUNTIF($H$7:H249,$H$7)&gt;1,"Do Not Copy","Copy")</f>
        <v>Copy</v>
      </c>
      <c r="L249"/>
      <c r="M249" s="2"/>
    </row>
    <row r="250" spans="1:13" x14ac:dyDescent="0.25">
      <c r="A250" s="128">
        <f t="shared" si="6"/>
        <v>0.84374999999999756</v>
      </c>
      <c r="B250" s="24">
        <f>INDEX('IDF Distributions'!$A$1:$AB$290,MATCH('Bulk Tool'!$A250,'IDF Distributions'!$A$1:$A$290,0),MATCH('Bulk Tool'!B$5,'IDF Distributions'!$A$1:$AB$1,0))*INDEX($N$5:$N$11,MATCH(B$6,$L$5:$L$11,0))*IF($E$2="Depth (mm)",(1),IF($E$2="Intensity (mm/hr)",12,0))</f>
        <v>0.29974847579917357</v>
      </c>
      <c r="C250" s="24">
        <f>INDEX('IDF Distributions'!$A$1:$AB$290,MATCH('Bulk Tool'!$A250,'IDF Distributions'!$A$1:$A$290,0),MATCH('Bulk Tool'!C$5,'IDF Distributions'!$A$1:$AB$1,0))*INDEX($N$5:$N$11,MATCH(C$6,$L$5:$L$11,0))*IF($E$2="Depth (mm)",(1),IF($E$2="Intensity (mm/hr)",12,0))</f>
        <v>0.39970395635887157</v>
      </c>
      <c r="D250" s="24">
        <f>INDEX('IDF Distributions'!$A$1:$AB$290,MATCH('Bulk Tool'!$A250,'IDF Distributions'!$A$1:$A$290,0),MATCH('Bulk Tool'!D$5,'IDF Distributions'!$A$1:$AB$1,0))*INDEX($N$5:$N$11,MATCH(D$6,$L$5:$L$11,0))*IF($E$2="Depth (mm)",(1),IF($E$2="Intensity (mm/hr)",12,0))</f>
        <v>0.47067431864523934</v>
      </c>
      <c r="E250" s="24">
        <f>INDEX('IDF Distributions'!$A$1:$AB$290,MATCH('Bulk Tool'!$A250,'IDF Distributions'!$A$1:$A$290,0),MATCH('Bulk Tool'!E$5,'IDF Distributions'!$A$1:$AB$1,0))*INDEX($N$5:$N$11,MATCH(E$6,$L$5:$L$11,0))*IF($E$2="Depth (mm)",(1),IF($E$2="Intensity (mm/hr)",12,0))</f>
        <v>0.56837924775250614</v>
      </c>
      <c r="F250" s="24">
        <f>INDEX('IDF Distributions'!$A$1:$AB$290,MATCH('Bulk Tool'!$A250,'IDF Distributions'!$A$1:$A$290,0),MATCH('Bulk Tool'!F$5,'IDF Distributions'!$A$1:$AB$1,0))*INDEX($N$5:$N$11,MATCH(F$6,$L$5:$L$11,0))*IF($E$2="Depth (mm)",(1),IF($E$2="Intensity (mm/hr)",12,0))</f>
        <v>0.64549545326842539</v>
      </c>
      <c r="G250" s="24">
        <f>INDEX('IDF Distributions'!$A$1:$AB$290,MATCH('Bulk Tool'!$A250,'IDF Distributions'!$A$1:$A$290,0),MATCH('Bulk Tool'!G$5,'IDF Distributions'!$A$1:$AB$1,0))*INDEX($N$5:$N$11,MATCH(G$6,$L$5:$L$11,0))*IF($E$2="Depth (mm)",(1),IF($E$2="Intensity (mm/hr)",12,0))</f>
        <v>0.7270344954074266</v>
      </c>
      <c r="H250" s="24">
        <f>INDEX('IDF Distributions'!$A$1:$AB$290,MATCH('Bulk Tool'!$A250,'IDF Distributions'!$A$1:$A$290,0),MATCH('Bulk Tool'!H$5,'IDF Distributions'!$A$1:$AB$1,0))*INDEX($N$5:$N$11,MATCH(H$6,$L$5:$L$11,0))*IF($E$2="Depth (mm)",(1),IF($E$2="Intensity (mm/hr)",12,0))</f>
        <v>0.81423524884065324</v>
      </c>
      <c r="I250" s="12" t="str">
        <f>IF(COUNTIF($H$7:H250,$H$7)&gt;1,"Do Not Copy","Copy")</f>
        <v>Copy</v>
      </c>
      <c r="L250"/>
      <c r="M250" s="2"/>
    </row>
    <row r="251" spans="1:13" x14ac:dyDescent="0.25">
      <c r="A251" s="128">
        <f t="shared" si="6"/>
        <v>0.84722222222221977</v>
      </c>
      <c r="B251" s="24">
        <f>INDEX('IDF Distributions'!$A$1:$AB$290,MATCH('Bulk Tool'!$A251,'IDF Distributions'!$A$1:$A$290,0),MATCH('Bulk Tool'!B$5,'IDF Distributions'!$A$1:$AB$1,0))*INDEX($N$5:$N$11,MATCH(B$6,$L$5:$L$11,0))*IF($E$2="Depth (mm)",(1),IF($E$2="Intensity (mm/hr)",12,0))</f>
        <v>0.30470299606031642</v>
      </c>
      <c r="C251" s="24">
        <f>INDEX('IDF Distributions'!$A$1:$AB$290,MATCH('Bulk Tool'!$A251,'IDF Distributions'!$A$1:$A$290,0),MATCH('Bulk Tool'!C$5,'IDF Distributions'!$A$1:$AB$1,0))*INDEX($N$5:$N$11,MATCH(C$6,$L$5:$L$11,0))*IF($E$2="Depth (mm)",(1),IF($E$2="Intensity (mm/hr)",12,0))</f>
        <v>0.40631063332348027</v>
      </c>
      <c r="D251" s="24">
        <f>INDEX('IDF Distributions'!$A$1:$AB$290,MATCH('Bulk Tool'!$A251,'IDF Distributions'!$A$1:$A$290,0),MATCH('Bulk Tool'!D$5,'IDF Distributions'!$A$1:$AB$1,0))*INDEX($N$5:$N$11,MATCH(D$6,$L$5:$L$11,0))*IF($E$2="Depth (mm)",(1),IF($E$2="Intensity (mm/hr)",12,0))</f>
        <v>0.47845405944929209</v>
      </c>
      <c r="E251" s="24">
        <f>INDEX('IDF Distributions'!$A$1:$AB$290,MATCH('Bulk Tool'!$A251,'IDF Distributions'!$A$1:$A$290,0),MATCH('Bulk Tool'!E$5,'IDF Distributions'!$A$1:$AB$1,0))*INDEX($N$5:$N$11,MATCH(E$6,$L$5:$L$11,0))*IF($E$2="Depth (mm)",(1),IF($E$2="Intensity (mm/hr)",12,0))</f>
        <v>0.57777394606246391</v>
      </c>
      <c r="F251" s="24">
        <f>INDEX('IDF Distributions'!$A$1:$AB$290,MATCH('Bulk Tool'!$A251,'IDF Distributions'!$A$1:$A$290,0),MATCH('Bulk Tool'!F$5,'IDF Distributions'!$A$1:$AB$1,0))*INDEX($N$5:$N$11,MATCH(F$6,$L$5:$L$11,0))*IF($E$2="Depth (mm)",(1),IF($E$2="Intensity (mm/hr)",12,0))</f>
        <v>0.65616479960343965</v>
      </c>
      <c r="G251" s="24">
        <f>INDEX('IDF Distributions'!$A$1:$AB$290,MATCH('Bulk Tool'!$A251,'IDF Distributions'!$A$1:$A$290,0),MATCH('Bulk Tool'!G$5,'IDF Distributions'!$A$1:$AB$1,0))*INDEX($N$5:$N$11,MATCH(G$6,$L$5:$L$11,0))*IF($E$2="Depth (mm)",(1),IF($E$2="Intensity (mm/hr)",12,0))</f>
        <v>0.73905159450506863</v>
      </c>
      <c r="H251" s="24">
        <f>INDEX('IDF Distributions'!$A$1:$AB$290,MATCH('Bulk Tool'!$A251,'IDF Distributions'!$A$1:$A$290,0),MATCH('Bulk Tool'!H$5,'IDF Distributions'!$A$1:$AB$1,0))*INDEX($N$5:$N$11,MATCH(H$6,$L$5:$L$11,0))*IF($E$2="Depth (mm)",(1),IF($E$2="Intensity (mm/hr)",12,0))</f>
        <v>0.82769368270578658</v>
      </c>
      <c r="I251" s="12" t="str">
        <f>IF(COUNTIF($H$7:H251,$H$7)&gt;1,"Do Not Copy","Copy")</f>
        <v>Copy</v>
      </c>
      <c r="L251"/>
      <c r="M251" s="2"/>
    </row>
    <row r="252" spans="1:13" x14ac:dyDescent="0.25">
      <c r="A252" s="128">
        <f t="shared" si="6"/>
        <v>0.85069444444444198</v>
      </c>
      <c r="B252" s="24">
        <f>INDEX('IDF Distributions'!$A$1:$AB$290,MATCH('Bulk Tool'!$A252,'IDF Distributions'!$A$1:$A$290,0),MATCH('Bulk Tool'!B$5,'IDF Distributions'!$A$1:$AB$1,0))*INDEX($N$5:$N$11,MATCH(B$6,$L$5:$L$11,0))*IF($E$2="Depth (mm)",(1),IF($E$2="Intensity (mm/hr)",12,0))</f>
        <v>0.30470299606031642</v>
      </c>
      <c r="C252" s="24">
        <f>INDEX('IDF Distributions'!$A$1:$AB$290,MATCH('Bulk Tool'!$A252,'IDF Distributions'!$A$1:$A$290,0),MATCH('Bulk Tool'!C$5,'IDF Distributions'!$A$1:$AB$1,0))*INDEX($N$5:$N$11,MATCH(C$6,$L$5:$L$11,0))*IF($E$2="Depth (mm)",(1),IF($E$2="Intensity (mm/hr)",12,0))</f>
        <v>0.40631063332348027</v>
      </c>
      <c r="D252" s="24">
        <f>INDEX('IDF Distributions'!$A$1:$AB$290,MATCH('Bulk Tool'!$A252,'IDF Distributions'!$A$1:$A$290,0),MATCH('Bulk Tool'!D$5,'IDF Distributions'!$A$1:$AB$1,0))*INDEX($N$5:$N$11,MATCH(D$6,$L$5:$L$11,0))*IF($E$2="Depth (mm)",(1),IF($E$2="Intensity (mm/hr)",12,0))</f>
        <v>0.47845405944929209</v>
      </c>
      <c r="E252" s="24">
        <f>INDEX('IDF Distributions'!$A$1:$AB$290,MATCH('Bulk Tool'!$A252,'IDF Distributions'!$A$1:$A$290,0),MATCH('Bulk Tool'!E$5,'IDF Distributions'!$A$1:$AB$1,0))*INDEX($N$5:$N$11,MATCH(E$6,$L$5:$L$11,0))*IF($E$2="Depth (mm)",(1),IF($E$2="Intensity (mm/hr)",12,0))</f>
        <v>0.57777394606246391</v>
      </c>
      <c r="F252" s="24">
        <f>INDEX('IDF Distributions'!$A$1:$AB$290,MATCH('Bulk Tool'!$A252,'IDF Distributions'!$A$1:$A$290,0),MATCH('Bulk Tool'!F$5,'IDF Distributions'!$A$1:$AB$1,0))*INDEX($N$5:$N$11,MATCH(F$6,$L$5:$L$11,0))*IF($E$2="Depth (mm)",(1),IF($E$2="Intensity (mm/hr)",12,0))</f>
        <v>0.65616479960343965</v>
      </c>
      <c r="G252" s="24">
        <f>INDEX('IDF Distributions'!$A$1:$AB$290,MATCH('Bulk Tool'!$A252,'IDF Distributions'!$A$1:$A$290,0),MATCH('Bulk Tool'!G$5,'IDF Distributions'!$A$1:$AB$1,0))*INDEX($N$5:$N$11,MATCH(G$6,$L$5:$L$11,0))*IF($E$2="Depth (mm)",(1),IF($E$2="Intensity (mm/hr)",12,0))</f>
        <v>0.73905159450506863</v>
      </c>
      <c r="H252" s="24">
        <f>INDEX('IDF Distributions'!$A$1:$AB$290,MATCH('Bulk Tool'!$A252,'IDF Distributions'!$A$1:$A$290,0),MATCH('Bulk Tool'!H$5,'IDF Distributions'!$A$1:$AB$1,0))*INDEX($N$5:$N$11,MATCH(H$6,$L$5:$L$11,0))*IF($E$2="Depth (mm)",(1),IF($E$2="Intensity (mm/hr)",12,0))</f>
        <v>0.82769368270578658</v>
      </c>
      <c r="I252" s="12" t="str">
        <f>IF(COUNTIF($H$7:H252,$H$7)&gt;1,"Do Not Copy","Copy")</f>
        <v>Copy</v>
      </c>
      <c r="L252"/>
      <c r="M252" s="2"/>
    </row>
    <row r="253" spans="1:13" x14ac:dyDescent="0.25">
      <c r="A253" s="128">
        <f t="shared" si="6"/>
        <v>0.85416666666666419</v>
      </c>
      <c r="B253" s="24">
        <f>INDEX('IDF Distributions'!$A$1:$AB$290,MATCH('Bulk Tool'!$A253,'IDF Distributions'!$A$1:$A$290,0),MATCH('Bulk Tool'!B$5,'IDF Distributions'!$A$1:$AB$1,0))*INDEX($N$5:$N$11,MATCH(B$6,$L$5:$L$11,0))*IF($E$2="Depth (mm)",(1),IF($E$2="Intensity (mm/hr)",12,0))</f>
        <v>0.29727121566860221</v>
      </c>
      <c r="C253" s="24">
        <f>INDEX('IDF Distributions'!$A$1:$AB$290,MATCH('Bulk Tool'!$A253,'IDF Distributions'!$A$1:$A$290,0),MATCH('Bulk Tool'!C$5,'IDF Distributions'!$A$1:$AB$1,0))*INDEX($N$5:$N$11,MATCH(C$6,$L$5:$L$11,0))*IF($E$2="Depth (mm)",(1),IF($E$2="Intensity (mm/hr)",12,0))</f>
        <v>0.39640061787656722</v>
      </c>
      <c r="D253" s="24">
        <f>INDEX('IDF Distributions'!$A$1:$AB$290,MATCH('Bulk Tool'!$A253,'IDF Distributions'!$A$1:$A$290,0),MATCH('Bulk Tool'!D$5,'IDF Distributions'!$A$1:$AB$1,0))*INDEX($N$5:$N$11,MATCH(D$6,$L$5:$L$11,0))*IF($E$2="Depth (mm)",(1),IF($E$2="Intensity (mm/hr)",12,0))</f>
        <v>0.46678444824321302</v>
      </c>
      <c r="E253" s="24">
        <f>INDEX('IDF Distributions'!$A$1:$AB$290,MATCH('Bulk Tool'!$A253,'IDF Distributions'!$A$1:$A$290,0),MATCH('Bulk Tool'!E$5,'IDF Distributions'!$A$1:$AB$1,0))*INDEX($N$5:$N$11,MATCH(E$6,$L$5:$L$11,0))*IF($E$2="Depth (mm)",(1),IF($E$2="Intensity (mm/hr)",12,0))</f>
        <v>0.56368189859752726</v>
      </c>
      <c r="F253" s="24">
        <f>INDEX('IDF Distributions'!$A$1:$AB$290,MATCH('Bulk Tool'!$A253,'IDF Distributions'!$A$1:$A$290,0),MATCH('Bulk Tool'!F$5,'IDF Distributions'!$A$1:$AB$1,0))*INDEX($N$5:$N$11,MATCH(F$6,$L$5:$L$11,0))*IF($E$2="Depth (mm)",(1),IF($E$2="Intensity (mm/hr)",12,0))</f>
        <v>0.64016078010091837</v>
      </c>
      <c r="G253" s="24">
        <f>INDEX('IDF Distributions'!$A$1:$AB$290,MATCH('Bulk Tool'!$A253,'IDF Distributions'!$A$1:$A$290,0),MATCH('Bulk Tool'!G$5,'IDF Distributions'!$A$1:$AB$1,0))*INDEX($N$5:$N$11,MATCH(G$6,$L$5:$L$11,0))*IF($E$2="Depth (mm)",(1),IF($E$2="Intensity (mm/hr)",12,0))</f>
        <v>0.72102594585860547</v>
      </c>
      <c r="H253" s="24">
        <f>INDEX('IDF Distributions'!$A$1:$AB$290,MATCH('Bulk Tool'!$A253,'IDF Distributions'!$A$1:$A$290,0),MATCH('Bulk Tool'!H$5,'IDF Distributions'!$A$1:$AB$1,0))*INDEX($N$5:$N$11,MATCH(H$6,$L$5:$L$11,0))*IF($E$2="Depth (mm)",(1),IF($E$2="Intensity (mm/hr)",12,0))</f>
        <v>0.80750603190808667</v>
      </c>
      <c r="I253" s="12" t="str">
        <f>IF(COUNTIF($H$7:H253,$H$7)&gt;1,"Do Not Copy","Copy")</f>
        <v>Copy</v>
      </c>
      <c r="L253"/>
      <c r="M253" s="2"/>
    </row>
    <row r="254" spans="1:13" x14ac:dyDescent="0.25">
      <c r="A254" s="128">
        <f t="shared" si="6"/>
        <v>0.8576388888888864</v>
      </c>
      <c r="B254" s="24">
        <f>INDEX('IDF Distributions'!$A$1:$AB$290,MATCH('Bulk Tool'!$A254,'IDF Distributions'!$A$1:$A$290,0),MATCH('Bulk Tool'!B$5,'IDF Distributions'!$A$1:$AB$1,0))*INDEX($N$5:$N$11,MATCH(B$6,$L$5:$L$11,0))*IF($E$2="Depth (mm)",(1),IF($E$2="Intensity (mm/hr)",12,0))</f>
        <v>0.29727121566860221</v>
      </c>
      <c r="C254" s="24">
        <f>INDEX('IDF Distributions'!$A$1:$AB$290,MATCH('Bulk Tool'!$A254,'IDF Distributions'!$A$1:$A$290,0),MATCH('Bulk Tool'!C$5,'IDF Distributions'!$A$1:$AB$1,0))*INDEX($N$5:$N$11,MATCH(C$6,$L$5:$L$11,0))*IF($E$2="Depth (mm)",(1),IF($E$2="Intensity (mm/hr)",12,0))</f>
        <v>0.39640061787656722</v>
      </c>
      <c r="D254" s="24">
        <f>INDEX('IDF Distributions'!$A$1:$AB$290,MATCH('Bulk Tool'!$A254,'IDF Distributions'!$A$1:$A$290,0),MATCH('Bulk Tool'!D$5,'IDF Distributions'!$A$1:$AB$1,0))*INDEX($N$5:$N$11,MATCH(D$6,$L$5:$L$11,0))*IF($E$2="Depth (mm)",(1),IF($E$2="Intensity (mm/hr)",12,0))</f>
        <v>0.46678444824321302</v>
      </c>
      <c r="E254" s="24">
        <f>INDEX('IDF Distributions'!$A$1:$AB$290,MATCH('Bulk Tool'!$A254,'IDF Distributions'!$A$1:$A$290,0),MATCH('Bulk Tool'!E$5,'IDF Distributions'!$A$1:$AB$1,0))*INDEX($N$5:$N$11,MATCH(E$6,$L$5:$L$11,0))*IF($E$2="Depth (mm)",(1),IF($E$2="Intensity (mm/hr)",12,0))</f>
        <v>0.56368189859752726</v>
      </c>
      <c r="F254" s="24">
        <f>INDEX('IDF Distributions'!$A$1:$AB$290,MATCH('Bulk Tool'!$A254,'IDF Distributions'!$A$1:$A$290,0),MATCH('Bulk Tool'!F$5,'IDF Distributions'!$A$1:$AB$1,0))*INDEX($N$5:$N$11,MATCH(F$6,$L$5:$L$11,0))*IF($E$2="Depth (mm)",(1),IF($E$2="Intensity (mm/hr)",12,0))</f>
        <v>0.64016078010091837</v>
      </c>
      <c r="G254" s="24">
        <f>INDEX('IDF Distributions'!$A$1:$AB$290,MATCH('Bulk Tool'!$A254,'IDF Distributions'!$A$1:$A$290,0),MATCH('Bulk Tool'!G$5,'IDF Distributions'!$A$1:$AB$1,0))*INDEX($N$5:$N$11,MATCH(G$6,$L$5:$L$11,0))*IF($E$2="Depth (mm)",(1),IF($E$2="Intensity (mm/hr)",12,0))</f>
        <v>0.72102594585860547</v>
      </c>
      <c r="H254" s="24">
        <f>INDEX('IDF Distributions'!$A$1:$AB$290,MATCH('Bulk Tool'!$A254,'IDF Distributions'!$A$1:$A$290,0),MATCH('Bulk Tool'!H$5,'IDF Distributions'!$A$1:$AB$1,0))*INDEX($N$5:$N$11,MATCH(H$6,$L$5:$L$11,0))*IF($E$2="Depth (mm)",(1),IF($E$2="Intensity (mm/hr)",12,0))</f>
        <v>0.80750603190808667</v>
      </c>
      <c r="I254" s="12" t="str">
        <f>IF(COUNTIF($H$7:H254,$H$7)&gt;1,"Do Not Copy","Copy")</f>
        <v>Copy</v>
      </c>
      <c r="L254"/>
      <c r="M254" s="2"/>
    </row>
    <row r="255" spans="1:13" x14ac:dyDescent="0.25">
      <c r="A255" s="128">
        <f t="shared" si="6"/>
        <v>0.86111111111110861</v>
      </c>
      <c r="B255" s="24">
        <f>INDEX('IDF Distributions'!$A$1:$AB$290,MATCH('Bulk Tool'!$A255,'IDF Distributions'!$A$1:$A$290,0),MATCH('Bulk Tool'!B$5,'IDF Distributions'!$A$1:$AB$1,0))*INDEX($N$5:$N$11,MATCH(B$6,$L$5:$L$11,0))*IF($E$2="Depth (mm)",(1),IF($E$2="Intensity (mm/hr)",12,0))</f>
        <v>0.29727121566860221</v>
      </c>
      <c r="C255" s="24">
        <f>INDEX('IDF Distributions'!$A$1:$AB$290,MATCH('Bulk Tool'!$A255,'IDF Distributions'!$A$1:$A$290,0),MATCH('Bulk Tool'!C$5,'IDF Distributions'!$A$1:$AB$1,0))*INDEX($N$5:$N$11,MATCH(C$6,$L$5:$L$11,0))*IF($E$2="Depth (mm)",(1),IF($E$2="Intensity (mm/hr)",12,0))</f>
        <v>0.39640061787656722</v>
      </c>
      <c r="D255" s="24">
        <f>INDEX('IDF Distributions'!$A$1:$AB$290,MATCH('Bulk Tool'!$A255,'IDF Distributions'!$A$1:$A$290,0),MATCH('Bulk Tool'!D$5,'IDF Distributions'!$A$1:$AB$1,0))*INDEX($N$5:$N$11,MATCH(D$6,$L$5:$L$11,0))*IF($E$2="Depth (mm)",(1),IF($E$2="Intensity (mm/hr)",12,0))</f>
        <v>0.46678444824321302</v>
      </c>
      <c r="E255" s="24">
        <f>INDEX('IDF Distributions'!$A$1:$AB$290,MATCH('Bulk Tool'!$A255,'IDF Distributions'!$A$1:$A$290,0),MATCH('Bulk Tool'!E$5,'IDF Distributions'!$A$1:$AB$1,0))*INDEX($N$5:$N$11,MATCH(E$6,$L$5:$L$11,0))*IF($E$2="Depth (mm)",(1),IF($E$2="Intensity (mm/hr)",12,0))</f>
        <v>0.56368189859752726</v>
      </c>
      <c r="F255" s="24">
        <f>INDEX('IDF Distributions'!$A$1:$AB$290,MATCH('Bulk Tool'!$A255,'IDF Distributions'!$A$1:$A$290,0),MATCH('Bulk Tool'!F$5,'IDF Distributions'!$A$1:$AB$1,0))*INDEX($N$5:$N$11,MATCH(F$6,$L$5:$L$11,0))*IF($E$2="Depth (mm)",(1),IF($E$2="Intensity (mm/hr)",12,0))</f>
        <v>0.64016078010091837</v>
      </c>
      <c r="G255" s="24">
        <f>INDEX('IDF Distributions'!$A$1:$AB$290,MATCH('Bulk Tool'!$A255,'IDF Distributions'!$A$1:$A$290,0),MATCH('Bulk Tool'!G$5,'IDF Distributions'!$A$1:$AB$1,0))*INDEX($N$5:$N$11,MATCH(G$6,$L$5:$L$11,0))*IF($E$2="Depth (mm)",(1),IF($E$2="Intensity (mm/hr)",12,0))</f>
        <v>0.72102594585860547</v>
      </c>
      <c r="H255" s="24">
        <f>INDEX('IDF Distributions'!$A$1:$AB$290,MATCH('Bulk Tool'!$A255,'IDF Distributions'!$A$1:$A$290,0),MATCH('Bulk Tool'!H$5,'IDF Distributions'!$A$1:$AB$1,0))*INDEX($N$5:$N$11,MATCH(H$6,$L$5:$L$11,0))*IF($E$2="Depth (mm)",(1),IF($E$2="Intensity (mm/hr)",12,0))</f>
        <v>0.80750603190808667</v>
      </c>
      <c r="I255" s="12" t="str">
        <f>IF(COUNTIF($H$7:H255,$H$7)&gt;1,"Do Not Copy","Copy")</f>
        <v>Copy</v>
      </c>
      <c r="L255"/>
      <c r="M255" s="2"/>
    </row>
    <row r="256" spans="1:13" x14ac:dyDescent="0.25">
      <c r="A256" s="128">
        <f t="shared" si="6"/>
        <v>0.86458333333333082</v>
      </c>
      <c r="B256" s="24">
        <f>INDEX('IDF Distributions'!$A$1:$AB$290,MATCH('Bulk Tool'!$A256,'IDF Distributions'!$A$1:$A$290,0),MATCH('Bulk Tool'!B$5,'IDF Distributions'!$A$1:$AB$1,0))*INDEX($N$5:$N$11,MATCH(B$6,$L$5:$L$11,0))*IF($E$2="Depth (mm)",(1),IF($E$2="Intensity (mm/hr)",12,0))</f>
        <v>0.29727121566860221</v>
      </c>
      <c r="C256" s="24">
        <f>INDEX('IDF Distributions'!$A$1:$AB$290,MATCH('Bulk Tool'!$A256,'IDF Distributions'!$A$1:$A$290,0),MATCH('Bulk Tool'!C$5,'IDF Distributions'!$A$1:$AB$1,0))*INDEX($N$5:$N$11,MATCH(C$6,$L$5:$L$11,0))*IF($E$2="Depth (mm)",(1),IF($E$2="Intensity (mm/hr)",12,0))</f>
        <v>0.39640061787656722</v>
      </c>
      <c r="D256" s="24">
        <f>INDEX('IDF Distributions'!$A$1:$AB$290,MATCH('Bulk Tool'!$A256,'IDF Distributions'!$A$1:$A$290,0),MATCH('Bulk Tool'!D$5,'IDF Distributions'!$A$1:$AB$1,0))*INDEX($N$5:$N$11,MATCH(D$6,$L$5:$L$11,0))*IF($E$2="Depth (mm)",(1),IF($E$2="Intensity (mm/hr)",12,0))</f>
        <v>0.46678444824321302</v>
      </c>
      <c r="E256" s="24">
        <f>INDEX('IDF Distributions'!$A$1:$AB$290,MATCH('Bulk Tool'!$A256,'IDF Distributions'!$A$1:$A$290,0),MATCH('Bulk Tool'!E$5,'IDF Distributions'!$A$1:$AB$1,0))*INDEX($N$5:$N$11,MATCH(E$6,$L$5:$L$11,0))*IF($E$2="Depth (mm)",(1),IF($E$2="Intensity (mm/hr)",12,0))</f>
        <v>0.56368189859752726</v>
      </c>
      <c r="F256" s="24">
        <f>INDEX('IDF Distributions'!$A$1:$AB$290,MATCH('Bulk Tool'!$A256,'IDF Distributions'!$A$1:$A$290,0),MATCH('Bulk Tool'!F$5,'IDF Distributions'!$A$1:$AB$1,0))*INDEX($N$5:$N$11,MATCH(F$6,$L$5:$L$11,0))*IF($E$2="Depth (mm)",(1),IF($E$2="Intensity (mm/hr)",12,0))</f>
        <v>0.64016078010091837</v>
      </c>
      <c r="G256" s="24">
        <f>INDEX('IDF Distributions'!$A$1:$AB$290,MATCH('Bulk Tool'!$A256,'IDF Distributions'!$A$1:$A$290,0),MATCH('Bulk Tool'!G$5,'IDF Distributions'!$A$1:$AB$1,0))*INDEX($N$5:$N$11,MATCH(G$6,$L$5:$L$11,0))*IF($E$2="Depth (mm)",(1),IF($E$2="Intensity (mm/hr)",12,0))</f>
        <v>0.72102594585860547</v>
      </c>
      <c r="H256" s="24">
        <f>INDEX('IDF Distributions'!$A$1:$AB$290,MATCH('Bulk Tool'!$A256,'IDF Distributions'!$A$1:$A$290,0),MATCH('Bulk Tool'!H$5,'IDF Distributions'!$A$1:$AB$1,0))*INDEX($N$5:$N$11,MATCH(H$6,$L$5:$L$11,0))*IF($E$2="Depth (mm)",(1),IF($E$2="Intensity (mm/hr)",12,0))</f>
        <v>0.80750603190808667</v>
      </c>
      <c r="I256" s="12" t="str">
        <f>IF(COUNTIF($H$7:H256,$H$7)&gt;1,"Do Not Copy","Copy")</f>
        <v>Copy</v>
      </c>
      <c r="L256"/>
      <c r="M256" s="2"/>
    </row>
    <row r="257" spans="1:13" x14ac:dyDescent="0.25">
      <c r="A257" s="128">
        <f t="shared" si="6"/>
        <v>0.86805555555555303</v>
      </c>
      <c r="B257" s="24">
        <f>INDEX('IDF Distributions'!$A$1:$AB$290,MATCH('Bulk Tool'!$A257,'IDF Distributions'!$A$1:$A$290,0),MATCH('Bulk Tool'!B$5,'IDF Distributions'!$A$1:$AB$1,0))*INDEX($N$5:$N$11,MATCH(B$6,$L$5:$L$11,0))*IF($E$2="Depth (mm)",(1),IF($E$2="Intensity (mm/hr)",12,0))</f>
        <v>0.28983943527688794</v>
      </c>
      <c r="C257" s="24">
        <f>INDEX('IDF Distributions'!$A$1:$AB$290,MATCH('Bulk Tool'!$A257,'IDF Distributions'!$A$1:$A$290,0),MATCH('Bulk Tool'!C$5,'IDF Distributions'!$A$1:$AB$1,0))*INDEX($N$5:$N$11,MATCH(C$6,$L$5:$L$11,0))*IF($E$2="Depth (mm)",(1),IF($E$2="Intensity (mm/hr)",12,0))</f>
        <v>0.38649060242965405</v>
      </c>
      <c r="D257" s="24">
        <f>INDEX('IDF Distributions'!$A$1:$AB$290,MATCH('Bulk Tool'!$A257,'IDF Distributions'!$A$1:$A$290,0),MATCH('Bulk Tool'!D$5,'IDF Distributions'!$A$1:$AB$1,0))*INDEX($N$5:$N$11,MATCH(D$6,$L$5:$L$11,0))*IF($E$2="Depth (mm)",(1),IF($E$2="Intensity (mm/hr)",12,0))</f>
        <v>0.45511483703713396</v>
      </c>
      <c r="E257" s="24">
        <f>INDEX('IDF Distributions'!$A$1:$AB$290,MATCH('Bulk Tool'!$A257,'IDF Distributions'!$A$1:$A$290,0),MATCH('Bulk Tool'!E$5,'IDF Distributions'!$A$1:$AB$1,0))*INDEX($N$5:$N$11,MATCH(E$6,$L$5:$L$11,0))*IF($E$2="Depth (mm)",(1),IF($E$2="Intensity (mm/hr)",12,0))</f>
        <v>0.54958985113259073</v>
      </c>
      <c r="F257" s="24">
        <f>INDEX('IDF Distributions'!$A$1:$AB$290,MATCH('Bulk Tool'!$A257,'IDF Distributions'!$A$1:$A$290,0),MATCH('Bulk Tool'!F$5,'IDF Distributions'!$A$1:$AB$1,0))*INDEX($N$5:$N$11,MATCH(F$6,$L$5:$L$11,0))*IF($E$2="Depth (mm)",(1),IF($E$2="Intensity (mm/hr)",12,0))</f>
        <v>0.6241567605983972</v>
      </c>
      <c r="G257" s="24">
        <f>INDEX('IDF Distributions'!$A$1:$AB$290,MATCH('Bulk Tool'!$A257,'IDF Distributions'!$A$1:$A$290,0),MATCH('Bulk Tool'!G$5,'IDF Distributions'!$A$1:$AB$1,0))*INDEX($N$5:$N$11,MATCH(G$6,$L$5:$L$11,0))*IF($E$2="Depth (mm)",(1),IF($E$2="Intensity (mm/hr)",12,0))</f>
        <v>0.7030002972121423</v>
      </c>
      <c r="H257" s="24">
        <f>INDEX('IDF Distributions'!$A$1:$AB$290,MATCH('Bulk Tool'!$A257,'IDF Distributions'!$A$1:$A$290,0),MATCH('Bulk Tool'!H$5,'IDF Distributions'!$A$1:$AB$1,0))*INDEX($N$5:$N$11,MATCH(H$6,$L$5:$L$11,0))*IF($E$2="Depth (mm)",(1),IF($E$2="Intensity (mm/hr)",12,0))</f>
        <v>0.78731838111038666</v>
      </c>
      <c r="I257" s="12" t="str">
        <f>IF(COUNTIF($H$7:H257,$H$7)&gt;1,"Do Not Copy","Copy")</f>
        <v>Copy</v>
      </c>
      <c r="L257"/>
      <c r="M257" s="2"/>
    </row>
    <row r="258" spans="1:13" x14ac:dyDescent="0.25">
      <c r="A258" s="128">
        <f t="shared" si="6"/>
        <v>0.87152777777777524</v>
      </c>
      <c r="B258" s="24">
        <f>INDEX('IDF Distributions'!$A$1:$AB$290,MATCH('Bulk Tool'!$A258,'IDF Distributions'!$A$1:$A$290,0),MATCH('Bulk Tool'!B$5,'IDF Distributions'!$A$1:$AB$1,0))*INDEX($N$5:$N$11,MATCH(B$6,$L$5:$L$11,0))*IF($E$2="Depth (mm)",(1),IF($E$2="Intensity (mm/hr)",12,0))</f>
        <v>0.28983943527688794</v>
      </c>
      <c r="C258" s="24">
        <f>INDEX('IDF Distributions'!$A$1:$AB$290,MATCH('Bulk Tool'!$A258,'IDF Distributions'!$A$1:$A$290,0),MATCH('Bulk Tool'!C$5,'IDF Distributions'!$A$1:$AB$1,0))*INDEX($N$5:$N$11,MATCH(C$6,$L$5:$L$11,0))*IF($E$2="Depth (mm)",(1),IF($E$2="Intensity (mm/hr)",12,0))</f>
        <v>0.38649060242965405</v>
      </c>
      <c r="D258" s="24">
        <f>INDEX('IDF Distributions'!$A$1:$AB$290,MATCH('Bulk Tool'!$A258,'IDF Distributions'!$A$1:$A$290,0),MATCH('Bulk Tool'!D$5,'IDF Distributions'!$A$1:$AB$1,0))*INDEX($N$5:$N$11,MATCH(D$6,$L$5:$L$11,0))*IF($E$2="Depth (mm)",(1),IF($E$2="Intensity (mm/hr)",12,0))</f>
        <v>0.45511483703713396</v>
      </c>
      <c r="E258" s="24">
        <f>INDEX('IDF Distributions'!$A$1:$AB$290,MATCH('Bulk Tool'!$A258,'IDF Distributions'!$A$1:$A$290,0),MATCH('Bulk Tool'!E$5,'IDF Distributions'!$A$1:$AB$1,0))*INDEX($N$5:$N$11,MATCH(E$6,$L$5:$L$11,0))*IF($E$2="Depth (mm)",(1),IF($E$2="Intensity (mm/hr)",12,0))</f>
        <v>0.54958985113259073</v>
      </c>
      <c r="F258" s="24">
        <f>INDEX('IDF Distributions'!$A$1:$AB$290,MATCH('Bulk Tool'!$A258,'IDF Distributions'!$A$1:$A$290,0),MATCH('Bulk Tool'!F$5,'IDF Distributions'!$A$1:$AB$1,0))*INDEX($N$5:$N$11,MATCH(F$6,$L$5:$L$11,0))*IF($E$2="Depth (mm)",(1),IF($E$2="Intensity (mm/hr)",12,0))</f>
        <v>0.6241567605983972</v>
      </c>
      <c r="G258" s="24">
        <f>INDEX('IDF Distributions'!$A$1:$AB$290,MATCH('Bulk Tool'!$A258,'IDF Distributions'!$A$1:$A$290,0),MATCH('Bulk Tool'!G$5,'IDF Distributions'!$A$1:$AB$1,0))*INDEX($N$5:$N$11,MATCH(G$6,$L$5:$L$11,0))*IF($E$2="Depth (mm)",(1),IF($E$2="Intensity (mm/hr)",12,0))</f>
        <v>0.7030002972121423</v>
      </c>
      <c r="H258" s="24">
        <f>INDEX('IDF Distributions'!$A$1:$AB$290,MATCH('Bulk Tool'!$A258,'IDF Distributions'!$A$1:$A$290,0),MATCH('Bulk Tool'!H$5,'IDF Distributions'!$A$1:$AB$1,0))*INDEX($N$5:$N$11,MATCH(H$6,$L$5:$L$11,0))*IF($E$2="Depth (mm)",(1),IF($E$2="Intensity (mm/hr)",12,0))</f>
        <v>0.78731838111038666</v>
      </c>
      <c r="I258" s="12" t="str">
        <f>IF(COUNTIF($H$7:H258,$H$7)&gt;1,"Do Not Copy","Copy")</f>
        <v>Copy</v>
      </c>
      <c r="L258"/>
      <c r="M258" s="2"/>
    </row>
    <row r="259" spans="1:13" x14ac:dyDescent="0.25">
      <c r="A259" s="128">
        <f t="shared" si="6"/>
        <v>0.87499999999999745</v>
      </c>
      <c r="B259" s="24">
        <f>INDEX('IDF Distributions'!$A$1:$AB$290,MATCH('Bulk Tool'!$A259,'IDF Distributions'!$A$1:$A$290,0),MATCH('Bulk Tool'!B$5,'IDF Distributions'!$A$1:$AB$1,0))*INDEX($N$5:$N$11,MATCH(B$6,$L$5:$L$11,0))*IF($E$2="Depth (mm)",(1),IF($E$2="Intensity (mm/hr)",12,0))</f>
        <v>0.2947939555380143</v>
      </c>
      <c r="C259" s="24">
        <f>INDEX('IDF Distributions'!$A$1:$AB$290,MATCH('Bulk Tool'!$A259,'IDF Distributions'!$A$1:$A$290,0),MATCH('Bulk Tool'!C$5,'IDF Distributions'!$A$1:$AB$1,0))*INDEX($N$5:$N$11,MATCH(C$6,$L$5:$L$11,0))*IF($E$2="Depth (mm)",(1),IF($E$2="Intensity (mm/hr)",12,0))</f>
        <v>0.39309727939424083</v>
      </c>
      <c r="D259" s="24">
        <f>INDEX('IDF Distributions'!$A$1:$AB$290,MATCH('Bulk Tool'!$A259,'IDF Distributions'!$A$1:$A$290,0),MATCH('Bulk Tool'!D$5,'IDF Distributions'!$A$1:$AB$1,0))*INDEX($N$5:$N$11,MATCH(D$6,$L$5:$L$11,0))*IF($E$2="Depth (mm)",(1),IF($E$2="Intensity (mm/hr)",12,0))</f>
        <v>0.46289457784116073</v>
      </c>
      <c r="E259" s="24">
        <f>INDEX('IDF Distributions'!$A$1:$AB$290,MATCH('Bulk Tool'!$A259,'IDF Distributions'!$A$1:$A$290,0),MATCH('Bulk Tool'!E$5,'IDF Distributions'!$A$1:$AB$1,0))*INDEX($N$5:$N$11,MATCH(E$6,$L$5:$L$11,0))*IF($E$2="Depth (mm)",(1),IF($E$2="Intensity (mm/hr)",12,0))</f>
        <v>0.55898454944251719</v>
      </c>
      <c r="F259" s="24">
        <f>INDEX('IDF Distributions'!$A$1:$AB$290,MATCH('Bulk Tool'!$A259,'IDF Distributions'!$A$1:$A$290,0),MATCH('Bulk Tool'!F$5,'IDF Distributions'!$A$1:$AB$1,0))*INDEX($N$5:$N$11,MATCH(F$6,$L$5:$L$11,0))*IF($E$2="Depth (mm)",(1),IF($E$2="Intensity (mm/hr)",12,0))</f>
        <v>0.63482610693337571</v>
      </c>
      <c r="G259" s="24">
        <f>INDEX('IDF Distributions'!$A$1:$AB$290,MATCH('Bulk Tool'!$A259,'IDF Distributions'!$A$1:$A$290,0),MATCH('Bulk Tool'!G$5,'IDF Distributions'!$A$1:$AB$1,0))*INDEX($N$5:$N$11,MATCH(G$6,$L$5:$L$11,0))*IF($E$2="Depth (mm)",(1),IF($E$2="Intensity (mm/hr)",12,0))</f>
        <v>0.71501739630974437</v>
      </c>
      <c r="H259" s="24">
        <f>INDEX('IDF Distributions'!$A$1:$AB$290,MATCH('Bulk Tool'!$A259,'IDF Distributions'!$A$1:$A$290,0),MATCH('Bulk Tool'!H$5,'IDF Distributions'!$A$1:$AB$1,0))*INDEX($N$5:$N$11,MATCH(H$6,$L$5:$L$11,0))*IF($E$2="Depth (mm)",(1),IF($E$2="Intensity (mm/hr)",12,0))</f>
        <v>0.80077681497547515</v>
      </c>
      <c r="I259" s="12" t="str">
        <f>IF(COUNTIF($H$7:H259,$H$7)&gt;1,"Do Not Copy","Copy")</f>
        <v>Copy</v>
      </c>
      <c r="L259"/>
      <c r="M259" s="2"/>
    </row>
    <row r="260" spans="1:13" x14ac:dyDescent="0.25">
      <c r="A260" s="128">
        <f t="shared" si="6"/>
        <v>0.87847222222221966</v>
      </c>
      <c r="B260" s="24">
        <f>INDEX('IDF Distributions'!$A$1:$AB$290,MATCH('Bulk Tool'!$A260,'IDF Distributions'!$A$1:$A$290,0),MATCH('Bulk Tool'!B$5,'IDF Distributions'!$A$1:$AB$1,0))*INDEX($N$5:$N$11,MATCH(B$6,$L$5:$L$11,0))*IF($E$2="Depth (mm)",(1),IF($E$2="Intensity (mm/hr)",12,0))</f>
        <v>0.28488491501576163</v>
      </c>
      <c r="C260" s="24">
        <f>INDEX('IDF Distributions'!$A$1:$AB$290,MATCH('Bulk Tool'!$A260,'IDF Distributions'!$A$1:$A$290,0),MATCH('Bulk Tool'!C$5,'IDF Distributions'!$A$1:$AB$1,0))*INDEX($N$5:$N$11,MATCH(C$6,$L$5:$L$11,0))*IF($E$2="Depth (mm)",(1),IF($E$2="Intensity (mm/hr)",12,0))</f>
        <v>0.37988392546506744</v>
      </c>
      <c r="D260" s="24">
        <f>INDEX('IDF Distributions'!$A$1:$AB$290,MATCH('Bulk Tool'!$A260,'IDF Distributions'!$A$1:$A$290,0),MATCH('Bulk Tool'!D$5,'IDF Distributions'!$A$1:$AB$1,0))*INDEX($N$5:$N$11,MATCH(D$6,$L$5:$L$11,0))*IF($E$2="Depth (mm)",(1),IF($E$2="Intensity (mm/hr)",12,0))</f>
        <v>0.44733509623310719</v>
      </c>
      <c r="E260" s="24">
        <f>INDEX('IDF Distributions'!$A$1:$AB$290,MATCH('Bulk Tool'!$A260,'IDF Distributions'!$A$1:$A$290,0),MATCH('Bulk Tool'!E$5,'IDF Distributions'!$A$1:$AB$1,0))*INDEX($N$5:$N$11,MATCH(E$6,$L$5:$L$11,0))*IF($E$2="Depth (mm)",(1),IF($E$2="Intensity (mm/hr)",12,0))</f>
        <v>0.54019515282266417</v>
      </c>
      <c r="F260" s="24">
        <f>INDEX('IDF Distributions'!$A$1:$AB$290,MATCH('Bulk Tool'!$A260,'IDF Distributions'!$A$1:$A$290,0),MATCH('Bulk Tool'!F$5,'IDF Distributions'!$A$1:$AB$1,0))*INDEX($N$5:$N$11,MATCH(F$6,$L$5:$L$11,0))*IF($E$2="Depth (mm)",(1),IF($E$2="Intensity (mm/hr)",12,0))</f>
        <v>0.61348741426341857</v>
      </c>
      <c r="G260" s="24">
        <f>INDEX('IDF Distributions'!$A$1:$AB$290,MATCH('Bulk Tool'!$A260,'IDF Distributions'!$A$1:$A$290,0),MATCH('Bulk Tool'!G$5,'IDF Distributions'!$A$1:$AB$1,0))*INDEX($N$5:$N$11,MATCH(G$6,$L$5:$L$11,0))*IF($E$2="Depth (mm)",(1),IF($E$2="Intensity (mm/hr)",12,0))</f>
        <v>0.69098319811454034</v>
      </c>
      <c r="H260" s="24">
        <f>INDEX('IDF Distributions'!$A$1:$AB$290,MATCH('Bulk Tool'!$A260,'IDF Distributions'!$A$1:$A$290,0),MATCH('Bulk Tool'!H$5,'IDF Distributions'!$A$1:$AB$1,0))*INDEX($N$5:$N$11,MATCH(H$6,$L$5:$L$11,0))*IF($E$2="Depth (mm)",(1),IF($E$2="Intensity (mm/hr)",12,0))</f>
        <v>0.77385994724529816</v>
      </c>
      <c r="I260" s="12" t="str">
        <f>IF(COUNTIF($H$7:H260,$H$7)&gt;1,"Do Not Copy","Copy")</f>
        <v>Copy</v>
      </c>
      <c r="L260"/>
      <c r="M260" s="2"/>
    </row>
    <row r="261" spans="1:13" x14ac:dyDescent="0.25">
      <c r="A261" s="128">
        <f t="shared" si="6"/>
        <v>0.88194444444444187</v>
      </c>
      <c r="B261" s="24">
        <f>INDEX('IDF Distributions'!$A$1:$AB$290,MATCH('Bulk Tool'!$A261,'IDF Distributions'!$A$1:$A$290,0),MATCH('Bulk Tool'!B$5,'IDF Distributions'!$A$1:$AB$1,0))*INDEX($N$5:$N$11,MATCH(B$6,$L$5:$L$11,0))*IF($E$2="Depth (mm)",(1),IF($E$2="Intensity (mm/hr)",12,0))</f>
        <v>0.28488491501574509</v>
      </c>
      <c r="C261" s="24">
        <f>INDEX('IDF Distributions'!$A$1:$AB$290,MATCH('Bulk Tool'!$A261,'IDF Distributions'!$A$1:$A$290,0),MATCH('Bulk Tool'!C$5,'IDF Distributions'!$A$1:$AB$1,0))*INDEX($N$5:$N$11,MATCH(C$6,$L$5:$L$11,0))*IF($E$2="Depth (mm)",(1),IF($E$2="Intensity (mm/hr)",12,0))</f>
        <v>0.37988392546504535</v>
      </c>
      <c r="D261" s="24">
        <f>INDEX('IDF Distributions'!$A$1:$AB$290,MATCH('Bulk Tool'!$A261,'IDF Distributions'!$A$1:$A$290,0),MATCH('Bulk Tool'!D$5,'IDF Distributions'!$A$1:$AB$1,0))*INDEX($N$5:$N$11,MATCH(D$6,$L$5:$L$11,0))*IF($E$2="Depth (mm)",(1),IF($E$2="Intensity (mm/hr)",12,0))</f>
        <v>0.44733509623308126</v>
      </c>
      <c r="E261" s="24">
        <f>INDEX('IDF Distributions'!$A$1:$AB$290,MATCH('Bulk Tool'!$A261,'IDF Distributions'!$A$1:$A$290,0),MATCH('Bulk Tool'!E$5,'IDF Distributions'!$A$1:$AB$1,0))*INDEX($N$5:$N$11,MATCH(E$6,$L$5:$L$11,0))*IF($E$2="Depth (mm)",(1),IF($E$2="Intensity (mm/hr)",12,0))</f>
        <v>0.54019515282263286</v>
      </c>
      <c r="F261" s="24">
        <f>INDEX('IDF Distributions'!$A$1:$AB$290,MATCH('Bulk Tool'!$A261,'IDF Distributions'!$A$1:$A$290,0),MATCH('Bulk Tool'!F$5,'IDF Distributions'!$A$1:$AB$1,0))*INDEX($N$5:$N$11,MATCH(F$6,$L$5:$L$11,0))*IF($E$2="Depth (mm)",(1),IF($E$2="Intensity (mm/hr)",12,0))</f>
        <v>0.61348741426338305</v>
      </c>
      <c r="G261" s="24">
        <f>INDEX('IDF Distributions'!$A$1:$AB$290,MATCH('Bulk Tool'!$A261,'IDF Distributions'!$A$1:$A$290,0),MATCH('Bulk Tool'!G$5,'IDF Distributions'!$A$1:$AB$1,0))*INDEX($N$5:$N$11,MATCH(G$6,$L$5:$L$11,0))*IF($E$2="Depth (mm)",(1),IF($E$2="Intensity (mm/hr)",12,0))</f>
        <v>0.69098319811450026</v>
      </c>
      <c r="H261" s="24">
        <f>INDEX('IDF Distributions'!$A$1:$AB$290,MATCH('Bulk Tool'!$A261,'IDF Distributions'!$A$1:$A$290,0),MATCH('Bulk Tool'!H$5,'IDF Distributions'!$A$1:$AB$1,0))*INDEX($N$5:$N$11,MATCH(H$6,$L$5:$L$11,0))*IF($E$2="Depth (mm)",(1),IF($E$2="Intensity (mm/hr)",12,0))</f>
        <v>0.77385994724525342</v>
      </c>
      <c r="I261" s="12" t="str">
        <f>IF(COUNTIF($H$7:H261,$H$7)&gt;1,"Do Not Copy","Copy")</f>
        <v>Copy</v>
      </c>
      <c r="L261"/>
      <c r="M261" s="2"/>
    </row>
    <row r="262" spans="1:13" x14ac:dyDescent="0.25">
      <c r="A262" s="128">
        <f t="shared" si="6"/>
        <v>0.88541666666666408</v>
      </c>
      <c r="B262" s="24">
        <f>INDEX('IDF Distributions'!$A$1:$AB$290,MATCH('Bulk Tool'!$A262,'IDF Distributions'!$A$1:$A$290,0),MATCH('Bulk Tool'!B$5,'IDF Distributions'!$A$1:$AB$1,0))*INDEX($N$5:$N$11,MATCH(B$6,$L$5:$L$11,0))*IF($E$2="Depth (mm)",(1),IF($E$2="Intensity (mm/hr)",12,0))</f>
        <v>0.28488491501572866</v>
      </c>
      <c r="C262" s="24">
        <f>INDEX('IDF Distributions'!$A$1:$AB$290,MATCH('Bulk Tool'!$A262,'IDF Distributions'!$A$1:$A$290,0),MATCH('Bulk Tool'!C$5,'IDF Distributions'!$A$1:$AB$1,0))*INDEX($N$5:$N$11,MATCH(C$6,$L$5:$L$11,0))*IF($E$2="Depth (mm)",(1),IF($E$2="Intensity (mm/hr)",12,0))</f>
        <v>0.37988392546502336</v>
      </c>
      <c r="D262" s="24">
        <f>INDEX('IDF Distributions'!$A$1:$AB$290,MATCH('Bulk Tool'!$A262,'IDF Distributions'!$A$1:$A$290,0),MATCH('Bulk Tool'!D$5,'IDF Distributions'!$A$1:$AB$1,0))*INDEX($N$5:$N$11,MATCH(D$6,$L$5:$L$11,0))*IF($E$2="Depth (mm)",(1),IF($E$2="Intensity (mm/hr)",12,0))</f>
        <v>0.44733509623305534</v>
      </c>
      <c r="E262" s="24">
        <f>INDEX('IDF Distributions'!$A$1:$AB$290,MATCH('Bulk Tool'!$A262,'IDF Distributions'!$A$1:$A$290,0),MATCH('Bulk Tool'!E$5,'IDF Distributions'!$A$1:$AB$1,0))*INDEX($N$5:$N$11,MATCH(E$6,$L$5:$L$11,0))*IF($E$2="Depth (mm)",(1),IF($E$2="Intensity (mm/hr)",12,0))</f>
        <v>0.54019515282260167</v>
      </c>
      <c r="F262" s="24">
        <f>INDEX('IDF Distributions'!$A$1:$AB$290,MATCH('Bulk Tool'!$A262,'IDF Distributions'!$A$1:$A$290,0),MATCH('Bulk Tool'!F$5,'IDF Distributions'!$A$1:$AB$1,0))*INDEX($N$5:$N$11,MATCH(F$6,$L$5:$L$11,0))*IF($E$2="Depth (mm)",(1),IF($E$2="Intensity (mm/hr)",12,0))</f>
        <v>0.61348741426334752</v>
      </c>
      <c r="G262" s="24">
        <f>INDEX('IDF Distributions'!$A$1:$AB$290,MATCH('Bulk Tool'!$A262,'IDF Distributions'!$A$1:$A$290,0),MATCH('Bulk Tool'!G$5,'IDF Distributions'!$A$1:$AB$1,0))*INDEX($N$5:$N$11,MATCH(G$6,$L$5:$L$11,0))*IF($E$2="Depth (mm)",(1),IF($E$2="Intensity (mm/hr)",12,0))</f>
        <v>0.69098319811446018</v>
      </c>
      <c r="H262" s="24">
        <f>INDEX('IDF Distributions'!$A$1:$AB$290,MATCH('Bulk Tool'!$A262,'IDF Distributions'!$A$1:$A$290,0),MATCH('Bulk Tool'!H$5,'IDF Distributions'!$A$1:$AB$1,0))*INDEX($N$5:$N$11,MATCH(H$6,$L$5:$L$11,0))*IF($E$2="Depth (mm)",(1),IF($E$2="Intensity (mm/hr)",12,0))</f>
        <v>0.77385994724520857</v>
      </c>
      <c r="I262" s="12" t="str">
        <f>IF(COUNTIF($H$7:H262,$H$7)&gt;1,"Do Not Copy","Copy")</f>
        <v>Copy</v>
      </c>
      <c r="L262"/>
      <c r="M262" s="2"/>
    </row>
    <row r="263" spans="1:13" x14ac:dyDescent="0.25">
      <c r="A263" s="128">
        <f t="shared" si="6"/>
        <v>0.88888888888888629</v>
      </c>
      <c r="B263" s="24">
        <f>INDEX('IDF Distributions'!$A$1:$AB$290,MATCH('Bulk Tool'!$A263,'IDF Distributions'!$A$1:$A$290,0),MATCH('Bulk Tool'!B$5,'IDF Distributions'!$A$1:$AB$1,0))*INDEX($N$5:$N$11,MATCH(B$6,$L$5:$L$11,0))*IF($E$2="Depth (mm)",(1),IF($E$2="Intensity (mm/hr)",12,0))</f>
        <v>0.28488491501574509</v>
      </c>
      <c r="C263" s="24">
        <f>INDEX('IDF Distributions'!$A$1:$AB$290,MATCH('Bulk Tool'!$A263,'IDF Distributions'!$A$1:$A$290,0),MATCH('Bulk Tool'!C$5,'IDF Distributions'!$A$1:$AB$1,0))*INDEX($N$5:$N$11,MATCH(C$6,$L$5:$L$11,0))*IF($E$2="Depth (mm)",(1),IF($E$2="Intensity (mm/hr)",12,0))</f>
        <v>0.37988392546504535</v>
      </c>
      <c r="D263" s="24">
        <f>INDEX('IDF Distributions'!$A$1:$AB$290,MATCH('Bulk Tool'!$A263,'IDF Distributions'!$A$1:$A$290,0),MATCH('Bulk Tool'!D$5,'IDF Distributions'!$A$1:$AB$1,0))*INDEX($N$5:$N$11,MATCH(D$6,$L$5:$L$11,0))*IF($E$2="Depth (mm)",(1),IF($E$2="Intensity (mm/hr)",12,0))</f>
        <v>0.44733509623308126</v>
      </c>
      <c r="E263" s="24">
        <f>INDEX('IDF Distributions'!$A$1:$AB$290,MATCH('Bulk Tool'!$A263,'IDF Distributions'!$A$1:$A$290,0),MATCH('Bulk Tool'!E$5,'IDF Distributions'!$A$1:$AB$1,0))*INDEX($N$5:$N$11,MATCH(E$6,$L$5:$L$11,0))*IF($E$2="Depth (mm)",(1),IF($E$2="Intensity (mm/hr)",12,0))</f>
        <v>0.54019515282263286</v>
      </c>
      <c r="F263" s="24">
        <f>INDEX('IDF Distributions'!$A$1:$AB$290,MATCH('Bulk Tool'!$A263,'IDF Distributions'!$A$1:$A$290,0),MATCH('Bulk Tool'!F$5,'IDF Distributions'!$A$1:$AB$1,0))*INDEX($N$5:$N$11,MATCH(F$6,$L$5:$L$11,0))*IF($E$2="Depth (mm)",(1),IF($E$2="Intensity (mm/hr)",12,0))</f>
        <v>0.61348741426338305</v>
      </c>
      <c r="G263" s="24">
        <f>INDEX('IDF Distributions'!$A$1:$AB$290,MATCH('Bulk Tool'!$A263,'IDF Distributions'!$A$1:$A$290,0),MATCH('Bulk Tool'!G$5,'IDF Distributions'!$A$1:$AB$1,0))*INDEX($N$5:$N$11,MATCH(G$6,$L$5:$L$11,0))*IF($E$2="Depth (mm)",(1),IF($E$2="Intensity (mm/hr)",12,0))</f>
        <v>0.69098319811450026</v>
      </c>
      <c r="H263" s="24">
        <f>INDEX('IDF Distributions'!$A$1:$AB$290,MATCH('Bulk Tool'!$A263,'IDF Distributions'!$A$1:$A$290,0),MATCH('Bulk Tool'!H$5,'IDF Distributions'!$A$1:$AB$1,0))*INDEX($N$5:$N$11,MATCH(H$6,$L$5:$L$11,0))*IF($E$2="Depth (mm)",(1),IF($E$2="Intensity (mm/hr)",12,0))</f>
        <v>0.77385994724525342</v>
      </c>
      <c r="I263" s="12" t="str">
        <f>IF(COUNTIF($H$7:H263,$H$7)&gt;1,"Do Not Copy","Copy")</f>
        <v>Copy</v>
      </c>
      <c r="L263"/>
      <c r="M263" s="2"/>
    </row>
    <row r="264" spans="1:13" x14ac:dyDescent="0.25">
      <c r="A264" s="128">
        <f t="shared" si="6"/>
        <v>0.8923611111111085</v>
      </c>
      <c r="B264" s="24">
        <f>INDEX('IDF Distributions'!$A$1:$AB$290,MATCH('Bulk Tool'!$A264,'IDF Distributions'!$A$1:$A$290,0),MATCH('Bulk Tool'!B$5,'IDF Distributions'!$A$1:$AB$1,0))*INDEX($N$5:$N$11,MATCH(B$6,$L$5:$L$11,0))*IF($E$2="Depth (mm)",(1),IF($E$2="Intensity (mm/hr)",12,0))</f>
        <v>0.2799303947546023</v>
      </c>
      <c r="C264" s="24">
        <f>INDEX('IDF Distributions'!$A$1:$AB$290,MATCH('Bulk Tool'!$A264,'IDF Distributions'!$A$1:$A$290,0),MATCH('Bulk Tool'!C$5,'IDF Distributions'!$A$1:$AB$1,0))*INDEX($N$5:$N$11,MATCH(C$6,$L$5:$L$11,0))*IF($E$2="Depth (mm)",(1),IF($E$2="Intensity (mm/hr)",12,0))</f>
        <v>0.37327724850043664</v>
      </c>
      <c r="D264" s="24">
        <f>INDEX('IDF Distributions'!$A$1:$AB$290,MATCH('Bulk Tool'!$A264,'IDF Distributions'!$A$1:$A$290,0),MATCH('Bulk Tool'!D$5,'IDF Distributions'!$A$1:$AB$1,0))*INDEX($N$5:$N$11,MATCH(D$6,$L$5:$L$11,0))*IF($E$2="Depth (mm)",(1),IF($E$2="Intensity (mm/hr)",12,0))</f>
        <v>0.43955535542902863</v>
      </c>
      <c r="E264" s="24">
        <f>INDEX('IDF Distributions'!$A$1:$AB$290,MATCH('Bulk Tool'!$A264,'IDF Distributions'!$A$1:$A$290,0),MATCH('Bulk Tool'!E$5,'IDF Distributions'!$A$1:$AB$1,0))*INDEX($N$5:$N$11,MATCH(E$6,$L$5:$L$11,0))*IF($E$2="Depth (mm)",(1),IF($E$2="Intensity (mm/hr)",12,0))</f>
        <v>0.53080045451267521</v>
      </c>
      <c r="F264" s="24">
        <f>INDEX('IDF Distributions'!$A$1:$AB$290,MATCH('Bulk Tool'!$A264,'IDF Distributions'!$A$1:$A$290,0),MATCH('Bulk Tool'!F$5,'IDF Distributions'!$A$1:$AB$1,0))*INDEX($N$5:$N$11,MATCH(F$6,$L$5:$L$11,0))*IF($E$2="Depth (mm)",(1),IF($E$2="Intensity (mm/hr)",12,0))</f>
        <v>0.60281806792836889</v>
      </c>
      <c r="G264" s="24">
        <f>INDEX('IDF Distributions'!$A$1:$AB$290,MATCH('Bulk Tool'!$A264,'IDF Distributions'!$A$1:$A$290,0),MATCH('Bulk Tool'!G$5,'IDF Distributions'!$A$1:$AB$1,0))*INDEX($N$5:$N$11,MATCH(G$6,$L$5:$L$11,0))*IF($E$2="Depth (mm)",(1),IF($E$2="Intensity (mm/hr)",12,0))</f>
        <v>0.67896609901685823</v>
      </c>
      <c r="H264" s="24">
        <f>INDEX('IDF Distributions'!$A$1:$AB$290,MATCH('Bulk Tool'!$A264,'IDF Distributions'!$A$1:$A$290,0),MATCH('Bulk Tool'!H$5,'IDF Distributions'!$A$1:$AB$1,0))*INDEX($N$5:$N$11,MATCH(H$6,$L$5:$L$11,0))*IF($E$2="Depth (mm)",(1),IF($E$2="Intensity (mm/hr)",12,0))</f>
        <v>0.76040151338012008</v>
      </c>
      <c r="I264" s="12" t="str">
        <f>IF(COUNTIF($H$7:H264,$H$7)&gt;1,"Do Not Copy","Copy")</f>
        <v>Copy</v>
      </c>
      <c r="L264"/>
      <c r="M264" s="2"/>
    </row>
    <row r="265" spans="1:13" x14ac:dyDescent="0.25">
      <c r="A265" s="128">
        <f t="shared" ref="A265:A295" si="7">A264+TIME(0,5,0)</f>
        <v>0.89583333333333071</v>
      </c>
      <c r="B265" s="24">
        <f>INDEX('IDF Distributions'!$A$1:$AB$290,MATCH('Bulk Tool'!$A265,'IDF Distributions'!$A$1:$A$290,0),MATCH('Bulk Tool'!B$5,'IDF Distributions'!$A$1:$AB$1,0))*INDEX($N$5:$N$11,MATCH(B$6,$L$5:$L$11,0))*IF($E$2="Depth (mm)",(1),IF($E$2="Intensity (mm/hr)",12,0))</f>
        <v>0.2749758744934595</v>
      </c>
      <c r="C265" s="24">
        <f>INDEX('IDF Distributions'!$A$1:$AB$290,MATCH('Bulk Tool'!$A265,'IDF Distributions'!$A$1:$A$290,0),MATCH('Bulk Tool'!C$5,'IDF Distributions'!$A$1:$AB$1,0))*INDEX($N$5:$N$11,MATCH(C$6,$L$5:$L$11,0))*IF($E$2="Depth (mm)",(1),IF($E$2="Intensity (mm/hr)",12,0))</f>
        <v>0.36667057153582794</v>
      </c>
      <c r="D265" s="24">
        <f>INDEX('IDF Distributions'!$A$1:$AB$290,MATCH('Bulk Tool'!$A265,'IDF Distributions'!$A$1:$A$290,0),MATCH('Bulk Tool'!D$5,'IDF Distributions'!$A$1:$AB$1,0))*INDEX($N$5:$N$11,MATCH(D$6,$L$5:$L$11,0))*IF($E$2="Depth (mm)",(1),IF($E$2="Intensity (mm/hr)",12,0))</f>
        <v>0.43177561462497593</v>
      </c>
      <c r="E265" s="24">
        <f>INDEX('IDF Distributions'!$A$1:$AB$290,MATCH('Bulk Tool'!$A265,'IDF Distributions'!$A$1:$A$290,0),MATCH('Bulk Tool'!E$5,'IDF Distributions'!$A$1:$AB$1,0))*INDEX($N$5:$N$11,MATCH(E$6,$L$5:$L$11,0))*IF($E$2="Depth (mm)",(1),IF($E$2="Intensity (mm/hr)",12,0))</f>
        <v>0.52140575620271745</v>
      </c>
      <c r="F265" s="24">
        <f>INDEX('IDF Distributions'!$A$1:$AB$290,MATCH('Bulk Tool'!$A265,'IDF Distributions'!$A$1:$A$290,0),MATCH('Bulk Tool'!F$5,'IDF Distributions'!$A$1:$AB$1,0))*INDEX($N$5:$N$11,MATCH(F$6,$L$5:$L$11,0))*IF($E$2="Depth (mm)",(1),IF($E$2="Intensity (mm/hr)",12,0))</f>
        <v>0.59214872159335485</v>
      </c>
      <c r="G265" s="24">
        <f>INDEX('IDF Distributions'!$A$1:$AB$290,MATCH('Bulk Tool'!$A265,'IDF Distributions'!$A$1:$A$290,0),MATCH('Bulk Tool'!G$5,'IDF Distributions'!$A$1:$AB$1,0))*INDEX($N$5:$N$11,MATCH(G$6,$L$5:$L$11,0))*IF($E$2="Depth (mm)",(1),IF($E$2="Intensity (mm/hr)",12,0))</f>
        <v>0.66694899991921608</v>
      </c>
      <c r="H265" s="24">
        <f>INDEX('IDF Distributions'!$A$1:$AB$290,MATCH('Bulk Tool'!$A265,'IDF Distributions'!$A$1:$A$290,0),MATCH('Bulk Tool'!H$5,'IDF Distributions'!$A$1:$AB$1,0))*INDEX($N$5:$N$11,MATCH(H$6,$L$5:$L$11,0))*IF($E$2="Depth (mm)",(1),IF($E$2="Intensity (mm/hr)",12,0))</f>
        <v>0.74694307951498684</v>
      </c>
      <c r="I265" s="12" t="str">
        <f>IF(COUNTIF($H$7:H265,$H$7)&gt;1,"Do Not Copy","Copy")</f>
        <v>Copy</v>
      </c>
      <c r="L265"/>
      <c r="M265" s="2"/>
    </row>
    <row r="266" spans="1:13" x14ac:dyDescent="0.25">
      <c r="A266" s="128">
        <f t="shared" si="7"/>
        <v>0.89930555555555292</v>
      </c>
      <c r="B266" s="24">
        <f>INDEX('IDF Distributions'!$A$1:$AB$290,MATCH('Bulk Tool'!$A266,'IDF Distributions'!$A$1:$A$290,0),MATCH('Bulk Tool'!B$5,'IDF Distributions'!$A$1:$AB$1,0))*INDEX($N$5:$N$11,MATCH(B$6,$L$5:$L$11,0))*IF($E$2="Depth (mm)",(1),IF($E$2="Intensity (mm/hr)",12,0))</f>
        <v>0.28488491501574509</v>
      </c>
      <c r="C266" s="24">
        <f>INDEX('IDF Distributions'!$A$1:$AB$290,MATCH('Bulk Tool'!$A266,'IDF Distributions'!$A$1:$A$290,0),MATCH('Bulk Tool'!C$5,'IDF Distributions'!$A$1:$AB$1,0))*INDEX($N$5:$N$11,MATCH(C$6,$L$5:$L$11,0))*IF($E$2="Depth (mm)",(1),IF($E$2="Intensity (mm/hr)",12,0))</f>
        <v>0.37988392546504535</v>
      </c>
      <c r="D266" s="24">
        <f>INDEX('IDF Distributions'!$A$1:$AB$290,MATCH('Bulk Tool'!$A266,'IDF Distributions'!$A$1:$A$290,0),MATCH('Bulk Tool'!D$5,'IDF Distributions'!$A$1:$AB$1,0))*INDEX($N$5:$N$11,MATCH(D$6,$L$5:$L$11,0))*IF($E$2="Depth (mm)",(1),IF($E$2="Intensity (mm/hr)",12,0))</f>
        <v>0.44733509623308126</v>
      </c>
      <c r="E266" s="24">
        <f>INDEX('IDF Distributions'!$A$1:$AB$290,MATCH('Bulk Tool'!$A266,'IDF Distributions'!$A$1:$A$290,0),MATCH('Bulk Tool'!E$5,'IDF Distributions'!$A$1:$AB$1,0))*INDEX($N$5:$N$11,MATCH(E$6,$L$5:$L$11,0))*IF($E$2="Depth (mm)",(1),IF($E$2="Intensity (mm/hr)",12,0))</f>
        <v>0.54019515282263286</v>
      </c>
      <c r="F266" s="24">
        <f>INDEX('IDF Distributions'!$A$1:$AB$290,MATCH('Bulk Tool'!$A266,'IDF Distributions'!$A$1:$A$290,0),MATCH('Bulk Tool'!F$5,'IDF Distributions'!$A$1:$AB$1,0))*INDEX($N$5:$N$11,MATCH(F$6,$L$5:$L$11,0))*IF($E$2="Depth (mm)",(1),IF($E$2="Intensity (mm/hr)",12,0))</f>
        <v>0.61348741426338305</v>
      </c>
      <c r="G266" s="24">
        <f>INDEX('IDF Distributions'!$A$1:$AB$290,MATCH('Bulk Tool'!$A266,'IDF Distributions'!$A$1:$A$290,0),MATCH('Bulk Tool'!G$5,'IDF Distributions'!$A$1:$AB$1,0))*INDEX($N$5:$N$11,MATCH(G$6,$L$5:$L$11,0))*IF($E$2="Depth (mm)",(1),IF($E$2="Intensity (mm/hr)",12,0))</f>
        <v>0.69098319811450026</v>
      </c>
      <c r="H266" s="24">
        <f>INDEX('IDF Distributions'!$A$1:$AB$290,MATCH('Bulk Tool'!$A266,'IDF Distributions'!$A$1:$A$290,0),MATCH('Bulk Tool'!H$5,'IDF Distributions'!$A$1:$AB$1,0))*INDEX($N$5:$N$11,MATCH(H$6,$L$5:$L$11,0))*IF($E$2="Depth (mm)",(1),IF($E$2="Intensity (mm/hr)",12,0))</f>
        <v>0.77385994724525342</v>
      </c>
      <c r="I266" s="12" t="str">
        <f>IF(COUNTIF($H$7:H266,$H$7)&gt;1,"Do Not Copy","Copy")</f>
        <v>Copy</v>
      </c>
      <c r="L266"/>
      <c r="M266" s="2"/>
    </row>
    <row r="267" spans="1:13" x14ac:dyDescent="0.25">
      <c r="A267" s="128">
        <f t="shared" si="7"/>
        <v>0.90277777777777513</v>
      </c>
      <c r="B267" s="24">
        <f>INDEX('IDF Distributions'!$A$1:$AB$290,MATCH('Bulk Tool'!$A267,'IDF Distributions'!$A$1:$A$290,0),MATCH('Bulk Tool'!B$5,'IDF Distributions'!$A$1:$AB$1,0))*INDEX($N$5:$N$11,MATCH(B$6,$L$5:$L$11,0))*IF($E$2="Depth (mm)",(1),IF($E$2="Intensity (mm/hr)",12,0))</f>
        <v>0.27249861436288808</v>
      </c>
      <c r="C267" s="24">
        <f>INDEX('IDF Distributions'!$A$1:$AB$290,MATCH('Bulk Tool'!$A267,'IDF Distributions'!$A$1:$A$290,0),MATCH('Bulk Tool'!C$5,'IDF Distributions'!$A$1:$AB$1,0))*INDEX($N$5:$N$11,MATCH(C$6,$L$5:$L$11,0))*IF($E$2="Depth (mm)",(1),IF($E$2="Intensity (mm/hr)",12,0))</f>
        <v>0.36336723305352359</v>
      </c>
      <c r="D267" s="24">
        <f>INDEX('IDF Distributions'!$A$1:$AB$290,MATCH('Bulk Tool'!$A267,'IDF Distributions'!$A$1:$A$290,0),MATCH('Bulk Tool'!D$5,'IDF Distributions'!$A$1:$AB$1,0))*INDEX($N$5:$N$11,MATCH(D$6,$L$5:$L$11,0))*IF($E$2="Depth (mm)",(1),IF($E$2="Intensity (mm/hr)",12,0))</f>
        <v>0.42788574422294956</v>
      </c>
      <c r="E267" s="24">
        <f>INDEX('IDF Distributions'!$A$1:$AB$290,MATCH('Bulk Tool'!$A267,'IDF Distributions'!$A$1:$A$290,0),MATCH('Bulk Tool'!E$5,'IDF Distributions'!$A$1:$AB$1,0))*INDEX($N$5:$N$11,MATCH(E$6,$L$5:$L$11,0))*IF($E$2="Depth (mm)",(1),IF($E$2="Intensity (mm/hr)",12,0))</f>
        <v>0.51670840704773857</v>
      </c>
      <c r="F267" s="24">
        <f>INDEX('IDF Distributions'!$A$1:$AB$290,MATCH('Bulk Tool'!$A267,'IDF Distributions'!$A$1:$A$290,0),MATCH('Bulk Tool'!F$5,'IDF Distributions'!$A$1:$AB$1,0))*INDEX($N$5:$N$11,MATCH(F$6,$L$5:$L$11,0))*IF($E$2="Depth (mm)",(1),IF($E$2="Intensity (mm/hr)",12,0))</f>
        <v>0.58681404842584772</v>
      </c>
      <c r="G267" s="24">
        <f>INDEX('IDF Distributions'!$A$1:$AB$290,MATCH('Bulk Tool'!$A267,'IDF Distributions'!$A$1:$A$290,0),MATCH('Bulk Tool'!G$5,'IDF Distributions'!$A$1:$AB$1,0))*INDEX($N$5:$N$11,MATCH(G$6,$L$5:$L$11,0))*IF($E$2="Depth (mm)",(1),IF($E$2="Intensity (mm/hr)",12,0))</f>
        <v>0.66094045037039506</v>
      </c>
      <c r="H267" s="24">
        <f>INDEX('IDF Distributions'!$A$1:$AB$290,MATCH('Bulk Tool'!$A267,'IDF Distributions'!$A$1:$A$290,0),MATCH('Bulk Tool'!H$5,'IDF Distributions'!$A$1:$AB$1,0))*INDEX($N$5:$N$11,MATCH(H$6,$L$5:$L$11,0))*IF($E$2="Depth (mm)",(1),IF($E$2="Intensity (mm/hr)",12,0))</f>
        <v>0.74021386258242017</v>
      </c>
      <c r="I267" s="12" t="str">
        <f>IF(COUNTIF($H$7:H267,$H$7)&gt;1,"Do Not Copy","Copy")</f>
        <v>Copy</v>
      </c>
      <c r="L267"/>
      <c r="M267" s="2"/>
    </row>
    <row r="268" spans="1:13" x14ac:dyDescent="0.25">
      <c r="A268" s="128">
        <f t="shared" si="7"/>
        <v>0.90624999999999734</v>
      </c>
      <c r="B268" s="24">
        <f>INDEX('IDF Distributions'!$A$1:$AB$290,MATCH('Bulk Tool'!$A268,'IDF Distributions'!$A$1:$A$290,0),MATCH('Bulk Tool'!B$5,'IDF Distributions'!$A$1:$AB$1,0))*INDEX($N$5:$N$11,MATCH(B$6,$L$5:$L$11,0))*IF($E$2="Depth (mm)",(1),IF($E$2="Intensity (mm/hr)",12,0))</f>
        <v>0.28240765488515718</v>
      </c>
      <c r="C268" s="24">
        <f>INDEX('IDF Distributions'!$A$1:$AB$290,MATCH('Bulk Tool'!$A268,'IDF Distributions'!$A$1:$A$290,0),MATCH('Bulk Tool'!C$5,'IDF Distributions'!$A$1:$AB$1,0))*INDEX($N$5:$N$11,MATCH(C$6,$L$5:$L$11,0))*IF($E$2="Depth (mm)",(1),IF($E$2="Intensity (mm/hr)",12,0))</f>
        <v>0.37658058698271901</v>
      </c>
      <c r="D268" s="24">
        <f>INDEX('IDF Distributions'!$A$1:$AB$290,MATCH('Bulk Tool'!$A268,'IDF Distributions'!$A$1:$A$290,0),MATCH('Bulk Tool'!D$5,'IDF Distributions'!$A$1:$AB$1,0))*INDEX($N$5:$N$11,MATCH(D$6,$L$5:$L$11,0))*IF($E$2="Depth (mm)",(1),IF($E$2="Intensity (mm/hr)",12,0))</f>
        <v>0.44344522583102908</v>
      </c>
      <c r="E268" s="24">
        <f>INDEX('IDF Distributions'!$A$1:$AB$290,MATCH('Bulk Tool'!$A268,'IDF Distributions'!$A$1:$A$290,0),MATCH('Bulk Tool'!E$5,'IDF Distributions'!$A$1:$AB$1,0))*INDEX($N$5:$N$11,MATCH(E$6,$L$5:$L$11,0))*IF($E$2="Depth (mm)",(1),IF($E$2="Intensity (mm/hr)",12,0))</f>
        <v>0.53549780366762278</v>
      </c>
      <c r="F268" s="24">
        <f>INDEX('IDF Distributions'!$A$1:$AB$290,MATCH('Bulk Tool'!$A268,'IDF Distributions'!$A$1:$A$290,0),MATCH('Bulk Tool'!F$5,'IDF Distributions'!$A$1:$AB$1,0))*INDEX($N$5:$N$11,MATCH(F$6,$L$5:$L$11,0))*IF($E$2="Depth (mm)",(1),IF($E$2="Intensity (mm/hr)",12,0))</f>
        <v>0.6081527410958405</v>
      </c>
      <c r="G268" s="24">
        <f>INDEX('IDF Distributions'!$A$1:$AB$290,MATCH('Bulk Tool'!$A268,'IDF Distributions'!$A$1:$A$290,0),MATCH('Bulk Tool'!G$5,'IDF Distributions'!$A$1:$AB$1,0))*INDEX($N$5:$N$11,MATCH(G$6,$L$5:$L$11,0))*IF($E$2="Depth (mm)",(1),IF($E$2="Intensity (mm/hr)",12,0))</f>
        <v>0.68497464856563917</v>
      </c>
      <c r="H268" s="24">
        <f>INDEX('IDF Distributions'!$A$1:$AB$290,MATCH('Bulk Tool'!$A268,'IDF Distributions'!$A$1:$A$290,0),MATCH('Bulk Tool'!H$5,'IDF Distributions'!$A$1:$AB$1,0))*INDEX($N$5:$N$11,MATCH(H$6,$L$5:$L$11,0))*IF($E$2="Depth (mm)",(1),IF($E$2="Intensity (mm/hr)",12,0))</f>
        <v>0.76713073031264201</v>
      </c>
      <c r="I268" s="12" t="str">
        <f>IF(COUNTIF($H$7:H268,$H$7)&gt;1,"Do Not Copy","Copy")</f>
        <v>Copy</v>
      </c>
      <c r="L268"/>
      <c r="M268" s="2"/>
    </row>
    <row r="269" spans="1:13" x14ac:dyDescent="0.25">
      <c r="A269" s="128">
        <f t="shared" si="7"/>
        <v>0.90972222222221955</v>
      </c>
      <c r="B269" s="24">
        <f>INDEX('IDF Distributions'!$A$1:$AB$290,MATCH('Bulk Tool'!$A269,'IDF Distributions'!$A$1:$A$290,0),MATCH('Bulk Tool'!B$5,'IDF Distributions'!$A$1:$AB$1,0))*INDEX($N$5:$N$11,MATCH(B$6,$L$5:$L$11,0))*IF($E$2="Depth (mm)",(1),IF($E$2="Intensity (mm/hr)",12,0))</f>
        <v>0.27745313462403087</v>
      </c>
      <c r="C269" s="24">
        <f>INDEX('IDF Distributions'!$A$1:$AB$290,MATCH('Bulk Tool'!$A269,'IDF Distributions'!$A$1:$A$290,0),MATCH('Bulk Tool'!C$5,'IDF Distributions'!$A$1:$AB$1,0))*INDEX($N$5:$N$11,MATCH(C$6,$L$5:$L$11,0))*IF($E$2="Depth (mm)",(1),IF($E$2="Intensity (mm/hr)",12,0))</f>
        <v>0.36997391001813229</v>
      </c>
      <c r="D269" s="24">
        <f>INDEX('IDF Distributions'!$A$1:$AB$290,MATCH('Bulk Tool'!$A269,'IDF Distributions'!$A$1:$A$290,0),MATCH('Bulk Tool'!D$5,'IDF Distributions'!$A$1:$AB$1,0))*INDEX($N$5:$N$11,MATCH(D$6,$L$5:$L$11,0))*IF($E$2="Depth (mm)",(1),IF($E$2="Intensity (mm/hr)",12,0))</f>
        <v>0.4356654850270022</v>
      </c>
      <c r="E269" s="24">
        <f>INDEX('IDF Distributions'!$A$1:$AB$290,MATCH('Bulk Tool'!$A269,'IDF Distributions'!$A$1:$A$290,0),MATCH('Bulk Tool'!E$5,'IDF Distributions'!$A$1:$AB$1,0))*INDEX($N$5:$N$11,MATCH(E$6,$L$5:$L$11,0))*IF($E$2="Depth (mm)",(1),IF($E$2="Intensity (mm/hr)",12,0))</f>
        <v>0.52610310535769633</v>
      </c>
      <c r="F269" s="24">
        <f>INDEX('IDF Distributions'!$A$1:$AB$290,MATCH('Bulk Tool'!$A269,'IDF Distributions'!$A$1:$A$290,0),MATCH('Bulk Tool'!F$5,'IDF Distributions'!$A$1:$AB$1,0))*INDEX($N$5:$N$11,MATCH(F$6,$L$5:$L$11,0))*IF($E$2="Depth (mm)",(1),IF($E$2="Intensity (mm/hr)",12,0))</f>
        <v>0.59748339476086187</v>
      </c>
      <c r="G269" s="24">
        <f>INDEX('IDF Distributions'!$A$1:$AB$290,MATCH('Bulk Tool'!$A269,'IDF Distributions'!$A$1:$A$290,0),MATCH('Bulk Tool'!G$5,'IDF Distributions'!$A$1:$AB$1,0))*INDEX($N$5:$N$11,MATCH(G$6,$L$5:$L$11,0))*IF($E$2="Depth (mm)",(1),IF($E$2="Intensity (mm/hr)",12,0))</f>
        <v>0.6729575494680371</v>
      </c>
      <c r="H269" s="24">
        <f>INDEX('IDF Distributions'!$A$1:$AB$290,MATCH('Bulk Tool'!$A269,'IDF Distributions'!$A$1:$A$290,0),MATCH('Bulk Tool'!H$5,'IDF Distributions'!$A$1:$AB$1,0))*INDEX($N$5:$N$11,MATCH(H$6,$L$5:$L$11,0))*IF($E$2="Depth (mm)",(1),IF($E$2="Intensity (mm/hr)",12,0))</f>
        <v>0.75367229644755351</v>
      </c>
      <c r="I269" s="12" t="str">
        <f>IF(COUNTIF($H$7:H269,$H$7)&gt;1,"Do Not Copy","Copy")</f>
        <v>Copy</v>
      </c>
      <c r="L269"/>
      <c r="M269" s="2"/>
    </row>
    <row r="270" spans="1:13" x14ac:dyDescent="0.25">
      <c r="A270" s="128">
        <f t="shared" si="7"/>
        <v>0.91319444444444176</v>
      </c>
      <c r="B270" s="24">
        <f>INDEX('IDF Distributions'!$A$1:$AB$290,MATCH('Bulk Tool'!$A270,'IDF Distributions'!$A$1:$A$290,0),MATCH('Bulk Tool'!B$5,'IDF Distributions'!$A$1:$AB$1,0))*INDEX($N$5:$N$11,MATCH(B$6,$L$5:$L$11,0))*IF($E$2="Depth (mm)",(1),IF($E$2="Intensity (mm/hr)",12,0))</f>
        <v>0.27249861436290457</v>
      </c>
      <c r="C270" s="24">
        <f>INDEX('IDF Distributions'!$A$1:$AB$290,MATCH('Bulk Tool'!$A270,'IDF Distributions'!$A$1:$A$290,0),MATCH('Bulk Tool'!C$5,'IDF Distributions'!$A$1:$AB$1,0))*INDEX($N$5:$N$11,MATCH(C$6,$L$5:$L$11,0))*IF($E$2="Depth (mm)",(1),IF($E$2="Intensity (mm/hr)",12,0))</f>
        <v>0.36336723305354557</v>
      </c>
      <c r="D270" s="24">
        <f>INDEX('IDF Distributions'!$A$1:$AB$290,MATCH('Bulk Tool'!$A270,'IDF Distributions'!$A$1:$A$290,0),MATCH('Bulk Tool'!D$5,'IDF Distributions'!$A$1:$AB$1,0))*INDEX($N$5:$N$11,MATCH(D$6,$L$5:$L$11,0))*IF($E$2="Depth (mm)",(1),IF($E$2="Intensity (mm/hr)",12,0))</f>
        <v>0.42788574422297548</v>
      </c>
      <c r="E270" s="24">
        <f>INDEX('IDF Distributions'!$A$1:$AB$290,MATCH('Bulk Tool'!$A270,'IDF Distributions'!$A$1:$A$290,0),MATCH('Bulk Tool'!E$5,'IDF Distributions'!$A$1:$AB$1,0))*INDEX($N$5:$N$11,MATCH(E$6,$L$5:$L$11,0))*IF($E$2="Depth (mm)",(1),IF($E$2="Intensity (mm/hr)",12,0))</f>
        <v>0.51670840704776988</v>
      </c>
      <c r="F270" s="24">
        <f>INDEX('IDF Distributions'!$A$1:$AB$290,MATCH('Bulk Tool'!$A270,'IDF Distributions'!$A$1:$A$290,0),MATCH('Bulk Tool'!F$5,'IDF Distributions'!$A$1:$AB$1,0))*INDEX($N$5:$N$11,MATCH(F$6,$L$5:$L$11,0))*IF($E$2="Depth (mm)",(1),IF($E$2="Intensity (mm/hr)",12,0))</f>
        <v>0.58681404842588336</v>
      </c>
      <c r="G270" s="24">
        <f>INDEX('IDF Distributions'!$A$1:$AB$290,MATCH('Bulk Tool'!$A270,'IDF Distributions'!$A$1:$A$290,0),MATCH('Bulk Tool'!G$5,'IDF Distributions'!$A$1:$AB$1,0))*INDEX($N$5:$N$11,MATCH(G$6,$L$5:$L$11,0))*IF($E$2="Depth (mm)",(1),IF($E$2="Intensity (mm/hr)",12,0))</f>
        <v>0.66094045037043503</v>
      </c>
      <c r="H270" s="24">
        <f>INDEX('IDF Distributions'!$A$1:$AB$290,MATCH('Bulk Tool'!$A270,'IDF Distributions'!$A$1:$A$290,0),MATCH('Bulk Tool'!H$5,'IDF Distributions'!$A$1:$AB$1,0))*INDEX($N$5:$N$11,MATCH(H$6,$L$5:$L$11,0))*IF($E$2="Depth (mm)",(1),IF($E$2="Intensity (mm/hr)",12,0))</f>
        <v>0.74021386258246502</v>
      </c>
      <c r="I270" s="12" t="str">
        <f>IF(COUNTIF($H$7:H270,$H$7)&gt;1,"Do Not Copy","Copy")</f>
        <v>Copy</v>
      </c>
      <c r="L270"/>
      <c r="M270" s="2"/>
    </row>
    <row r="271" spans="1:13" x14ac:dyDescent="0.25">
      <c r="A271" s="128">
        <f t="shared" si="7"/>
        <v>0.91666666666666397</v>
      </c>
      <c r="B271" s="24">
        <f>INDEX('IDF Distributions'!$A$1:$AB$290,MATCH('Bulk Tool'!$A271,'IDF Distributions'!$A$1:$A$290,0),MATCH('Bulk Tool'!B$5,'IDF Distributions'!$A$1:$AB$1,0))*INDEX($N$5:$N$11,MATCH(B$6,$L$5:$L$11,0))*IF($E$2="Depth (mm)",(1),IF($E$2="Intensity (mm/hr)",12,0))</f>
        <v>0.27002135423230017</v>
      </c>
      <c r="C271" s="24">
        <f>INDEX('IDF Distributions'!$A$1:$AB$290,MATCH('Bulk Tool'!$A271,'IDF Distributions'!$A$1:$A$290,0),MATCH('Bulk Tool'!C$5,'IDF Distributions'!$A$1:$AB$1,0))*INDEX($N$5:$N$11,MATCH(C$6,$L$5:$L$11,0))*IF($E$2="Depth (mm)",(1),IF($E$2="Intensity (mm/hr)",12,0))</f>
        <v>0.3600638945711972</v>
      </c>
      <c r="D271" s="24">
        <f>INDEX('IDF Distributions'!$A$1:$AB$290,MATCH('Bulk Tool'!$A271,'IDF Distributions'!$A$1:$A$290,0),MATCH('Bulk Tool'!D$5,'IDF Distributions'!$A$1:$AB$1,0))*INDEX($N$5:$N$11,MATCH(D$6,$L$5:$L$11,0))*IF($E$2="Depth (mm)",(1),IF($E$2="Intensity (mm/hr)",12,0))</f>
        <v>0.42399587382089732</v>
      </c>
      <c r="E271" s="24">
        <f>INDEX('IDF Distributions'!$A$1:$AB$290,MATCH('Bulk Tool'!$A271,'IDF Distributions'!$A$1:$A$290,0),MATCH('Bulk Tool'!E$5,'IDF Distributions'!$A$1:$AB$1,0))*INDEX($N$5:$N$11,MATCH(E$6,$L$5:$L$11,0))*IF($E$2="Depth (mm)",(1),IF($E$2="Intensity (mm/hr)",12,0))</f>
        <v>0.51201105789272838</v>
      </c>
      <c r="F271" s="24">
        <f>INDEX('IDF Distributions'!$A$1:$AB$290,MATCH('Bulk Tool'!$A271,'IDF Distributions'!$A$1:$A$290,0),MATCH('Bulk Tool'!F$5,'IDF Distributions'!$A$1:$AB$1,0))*INDEX($N$5:$N$11,MATCH(F$6,$L$5:$L$11,0))*IF($E$2="Depth (mm)",(1),IF($E$2="Intensity (mm/hr)",12,0))</f>
        <v>0.58147937525830518</v>
      </c>
      <c r="G271" s="24">
        <f>INDEX('IDF Distributions'!$A$1:$AB$290,MATCH('Bulk Tool'!$A271,'IDF Distributions'!$A$1:$A$290,0),MATCH('Bulk Tool'!G$5,'IDF Distributions'!$A$1:$AB$1,0))*INDEX($N$5:$N$11,MATCH(G$6,$L$5:$L$11,0))*IF($E$2="Depth (mm)",(1),IF($E$2="Intensity (mm/hr)",12,0))</f>
        <v>0.65493190082153396</v>
      </c>
      <c r="H271" s="24">
        <f>INDEX('IDF Distributions'!$A$1:$AB$290,MATCH('Bulk Tool'!$A271,'IDF Distributions'!$A$1:$A$290,0),MATCH('Bulk Tool'!H$5,'IDF Distributions'!$A$1:$AB$1,0))*INDEX($N$5:$N$11,MATCH(H$6,$L$5:$L$11,0))*IF($E$2="Depth (mm)",(1),IF($E$2="Intensity (mm/hr)",12,0))</f>
        <v>0.73348464564980875</v>
      </c>
      <c r="I271" s="12" t="str">
        <f>IF(COUNTIF($H$7:H271,$H$7)&gt;1,"Do Not Copy","Copy")</f>
        <v>Copy</v>
      </c>
      <c r="L271"/>
      <c r="M271" s="2"/>
    </row>
    <row r="272" spans="1:13" x14ac:dyDescent="0.25">
      <c r="A272" s="128">
        <f t="shared" si="7"/>
        <v>0.92013888888888618</v>
      </c>
      <c r="B272" s="24">
        <f>INDEX('IDF Distributions'!$A$1:$AB$290,MATCH('Bulk Tool'!$A272,'IDF Distributions'!$A$1:$A$290,0),MATCH('Bulk Tool'!B$5,'IDF Distributions'!$A$1:$AB$1,0))*INDEX($N$5:$N$11,MATCH(B$6,$L$5:$L$11,0))*IF($E$2="Depth (mm)",(1),IF($E$2="Intensity (mm/hr)",12,0))</f>
        <v>0.26011231371003107</v>
      </c>
      <c r="C272" s="24">
        <f>INDEX('IDF Distributions'!$A$1:$AB$290,MATCH('Bulk Tool'!$A272,'IDF Distributions'!$A$1:$A$290,0),MATCH('Bulk Tool'!C$5,'IDF Distributions'!$A$1:$AB$1,0))*INDEX($N$5:$N$11,MATCH(C$6,$L$5:$L$11,0))*IF($E$2="Depth (mm)",(1),IF($E$2="Intensity (mm/hr)",12,0))</f>
        <v>0.34685054064200177</v>
      </c>
      <c r="D272" s="24">
        <f>INDEX('IDF Distributions'!$A$1:$AB$290,MATCH('Bulk Tool'!$A272,'IDF Distributions'!$A$1:$A$290,0),MATCH('Bulk Tool'!D$5,'IDF Distributions'!$A$1:$AB$1,0))*INDEX($N$5:$N$11,MATCH(D$6,$L$5:$L$11,0))*IF($E$2="Depth (mm)",(1),IF($E$2="Intensity (mm/hr)",12,0))</f>
        <v>0.4084363922128178</v>
      </c>
      <c r="E272" s="24">
        <f>INDEX('IDF Distributions'!$A$1:$AB$290,MATCH('Bulk Tool'!$A272,'IDF Distributions'!$A$1:$A$290,0),MATCH('Bulk Tool'!E$5,'IDF Distributions'!$A$1:$AB$1,0))*INDEX($N$5:$N$11,MATCH(E$6,$L$5:$L$11,0))*IF($E$2="Depth (mm)",(1),IF($E$2="Intensity (mm/hr)",12,0))</f>
        <v>0.49322166127284423</v>
      </c>
      <c r="F272" s="24">
        <f>INDEX('IDF Distributions'!$A$1:$AB$290,MATCH('Bulk Tool'!$A272,'IDF Distributions'!$A$1:$A$290,0),MATCH('Bulk Tool'!F$5,'IDF Distributions'!$A$1:$AB$1,0))*INDEX($N$5:$N$11,MATCH(F$6,$L$5:$L$11,0))*IF($E$2="Depth (mm)",(1),IF($E$2="Intensity (mm/hr)",12,0))</f>
        <v>0.56014068258831251</v>
      </c>
      <c r="G272" s="24">
        <f>INDEX('IDF Distributions'!$A$1:$AB$290,MATCH('Bulk Tool'!$A272,'IDF Distributions'!$A$1:$A$290,0),MATCH('Bulk Tool'!G$5,'IDF Distributions'!$A$1:$AB$1,0))*INDEX($N$5:$N$11,MATCH(G$6,$L$5:$L$11,0))*IF($E$2="Depth (mm)",(1),IF($E$2="Intensity (mm/hr)",12,0))</f>
        <v>0.63089770262628975</v>
      </c>
      <c r="H272" s="24">
        <f>INDEX('IDF Distributions'!$A$1:$AB$290,MATCH('Bulk Tool'!$A272,'IDF Distributions'!$A$1:$A$290,0),MATCH('Bulk Tool'!H$5,'IDF Distributions'!$A$1:$AB$1,0))*INDEX($N$5:$N$11,MATCH(H$6,$L$5:$L$11,0))*IF($E$2="Depth (mm)",(1),IF($E$2="Intensity (mm/hr)",12,0))</f>
        <v>0.70656777791958703</v>
      </c>
      <c r="I272" s="12" t="str">
        <f>IF(COUNTIF($H$7:H272,$H$7)&gt;1,"Do Not Copy","Copy")</f>
        <v>Copy</v>
      </c>
      <c r="L272"/>
      <c r="M272" s="2"/>
    </row>
    <row r="273" spans="1:13" x14ac:dyDescent="0.25">
      <c r="A273" s="128">
        <f t="shared" si="7"/>
        <v>0.92361111111110838</v>
      </c>
      <c r="B273" s="24">
        <f>INDEX('IDF Distributions'!$A$1:$AB$290,MATCH('Bulk Tool'!$A273,'IDF Distributions'!$A$1:$A$290,0),MATCH('Bulk Tool'!B$5,'IDF Distributions'!$A$1:$AB$1,0))*INDEX($N$5:$N$11,MATCH(B$6,$L$5:$L$11,0))*IF($E$2="Depth (mm)",(1),IF($E$2="Intensity (mm/hr)",12,0))</f>
        <v>0.27249861436288808</v>
      </c>
      <c r="C273" s="24">
        <f>INDEX('IDF Distributions'!$A$1:$AB$290,MATCH('Bulk Tool'!$A273,'IDF Distributions'!$A$1:$A$290,0),MATCH('Bulk Tool'!C$5,'IDF Distributions'!$A$1:$AB$1,0))*INDEX($N$5:$N$11,MATCH(C$6,$L$5:$L$11,0))*IF($E$2="Depth (mm)",(1),IF($E$2="Intensity (mm/hr)",12,0))</f>
        <v>0.36336723305352359</v>
      </c>
      <c r="D273" s="24">
        <f>INDEX('IDF Distributions'!$A$1:$AB$290,MATCH('Bulk Tool'!$A273,'IDF Distributions'!$A$1:$A$290,0),MATCH('Bulk Tool'!D$5,'IDF Distributions'!$A$1:$AB$1,0))*INDEX($N$5:$N$11,MATCH(D$6,$L$5:$L$11,0))*IF($E$2="Depth (mm)",(1),IF($E$2="Intensity (mm/hr)",12,0))</f>
        <v>0.42788574422294956</v>
      </c>
      <c r="E273" s="24">
        <f>INDEX('IDF Distributions'!$A$1:$AB$290,MATCH('Bulk Tool'!$A273,'IDF Distributions'!$A$1:$A$290,0),MATCH('Bulk Tool'!E$5,'IDF Distributions'!$A$1:$AB$1,0))*INDEX($N$5:$N$11,MATCH(E$6,$L$5:$L$11,0))*IF($E$2="Depth (mm)",(1),IF($E$2="Intensity (mm/hr)",12,0))</f>
        <v>0.51670840704773857</v>
      </c>
      <c r="F273" s="24">
        <f>INDEX('IDF Distributions'!$A$1:$AB$290,MATCH('Bulk Tool'!$A273,'IDF Distributions'!$A$1:$A$290,0),MATCH('Bulk Tool'!F$5,'IDF Distributions'!$A$1:$AB$1,0))*INDEX($N$5:$N$11,MATCH(F$6,$L$5:$L$11,0))*IF($E$2="Depth (mm)",(1),IF($E$2="Intensity (mm/hr)",12,0))</f>
        <v>0.58681404842584772</v>
      </c>
      <c r="G273" s="24">
        <f>INDEX('IDF Distributions'!$A$1:$AB$290,MATCH('Bulk Tool'!$A273,'IDF Distributions'!$A$1:$A$290,0),MATCH('Bulk Tool'!G$5,'IDF Distributions'!$A$1:$AB$1,0))*INDEX($N$5:$N$11,MATCH(G$6,$L$5:$L$11,0))*IF($E$2="Depth (mm)",(1),IF($E$2="Intensity (mm/hr)",12,0))</f>
        <v>0.66094045037039506</v>
      </c>
      <c r="H273" s="24">
        <f>INDEX('IDF Distributions'!$A$1:$AB$290,MATCH('Bulk Tool'!$A273,'IDF Distributions'!$A$1:$A$290,0),MATCH('Bulk Tool'!H$5,'IDF Distributions'!$A$1:$AB$1,0))*INDEX($N$5:$N$11,MATCH(H$6,$L$5:$L$11,0))*IF($E$2="Depth (mm)",(1),IF($E$2="Intensity (mm/hr)",12,0))</f>
        <v>0.74021386258242017</v>
      </c>
      <c r="I273" s="12" t="str">
        <f>IF(COUNTIF($H$7:H273,$H$7)&gt;1,"Do Not Copy","Copy")</f>
        <v>Copy</v>
      </c>
      <c r="L273"/>
      <c r="M273" s="2"/>
    </row>
    <row r="274" spans="1:13" x14ac:dyDescent="0.25">
      <c r="A274" s="128">
        <f t="shared" si="7"/>
        <v>0.92708333333333059</v>
      </c>
      <c r="B274" s="24">
        <f>INDEX('IDF Distributions'!$A$1:$AB$290,MATCH('Bulk Tool'!$A274,'IDF Distributions'!$A$1:$A$290,0),MATCH('Bulk Tool'!B$5,'IDF Distributions'!$A$1:$AB$1,0))*INDEX($N$5:$N$11,MATCH(B$6,$L$5:$L$11,0))*IF($E$2="Depth (mm)",(1),IF($E$2="Intensity (mm/hr)",12,0))</f>
        <v>0.26258957384058595</v>
      </c>
      <c r="C274" s="24">
        <f>INDEX('IDF Distributions'!$A$1:$AB$290,MATCH('Bulk Tool'!$A274,'IDF Distributions'!$A$1:$A$290,0),MATCH('Bulk Tool'!C$5,'IDF Distributions'!$A$1:$AB$1,0))*INDEX($N$5:$N$11,MATCH(C$6,$L$5:$L$11,0))*IF($E$2="Depth (mm)",(1),IF($E$2="Intensity (mm/hr)",12,0))</f>
        <v>0.35015387912428414</v>
      </c>
      <c r="D274" s="24">
        <f>INDEX('IDF Distributions'!$A$1:$AB$290,MATCH('Bulk Tool'!$A274,'IDF Distributions'!$A$1:$A$290,0),MATCH('Bulk Tool'!D$5,'IDF Distributions'!$A$1:$AB$1,0))*INDEX($N$5:$N$11,MATCH(D$6,$L$5:$L$11,0))*IF($E$2="Depth (mm)",(1),IF($E$2="Intensity (mm/hr)",12,0))</f>
        <v>0.41232626261481825</v>
      </c>
      <c r="E274" s="24">
        <f>INDEX('IDF Distributions'!$A$1:$AB$290,MATCH('Bulk Tool'!$A274,'IDF Distributions'!$A$1:$A$290,0),MATCH('Bulk Tool'!E$5,'IDF Distributions'!$A$1:$AB$1,0))*INDEX($N$5:$N$11,MATCH(E$6,$L$5:$L$11,0))*IF($E$2="Depth (mm)",(1),IF($E$2="Intensity (mm/hr)",12,0))</f>
        <v>0.49791901042779174</v>
      </c>
      <c r="F274" s="24">
        <f>INDEX('IDF Distributions'!$A$1:$AB$290,MATCH('Bulk Tool'!$A274,'IDF Distributions'!$A$1:$A$290,0),MATCH('Bulk Tool'!F$5,'IDF Distributions'!$A$1:$AB$1,0))*INDEX($N$5:$N$11,MATCH(F$6,$L$5:$L$11,0))*IF($E$2="Depth (mm)",(1),IF($E$2="Intensity (mm/hr)",12,0))</f>
        <v>0.565475355755784</v>
      </c>
      <c r="G274" s="24">
        <f>INDEX('IDF Distributions'!$A$1:$AB$290,MATCH('Bulk Tool'!$A274,'IDF Distributions'!$A$1:$A$290,0),MATCH('Bulk Tool'!G$5,'IDF Distributions'!$A$1:$AB$1,0))*INDEX($N$5:$N$11,MATCH(G$6,$L$5:$L$11,0))*IF($E$2="Depth (mm)",(1),IF($E$2="Intensity (mm/hr)",12,0))</f>
        <v>0.6369062521750708</v>
      </c>
      <c r="H274" s="24">
        <f>INDEX('IDF Distributions'!$A$1:$AB$290,MATCH('Bulk Tool'!$A274,'IDF Distributions'!$A$1:$A$290,0),MATCH('Bulk Tool'!H$5,'IDF Distributions'!$A$1:$AB$1,0))*INDEX($N$5:$N$11,MATCH(H$6,$L$5:$L$11,0))*IF($E$2="Depth (mm)",(1),IF($E$2="Intensity (mm/hr)",12,0))</f>
        <v>0.71329699485210885</v>
      </c>
      <c r="I274" s="12" t="str">
        <f>IF(COUNTIF($H$7:H274,$H$7)&gt;1,"Do Not Copy","Copy")</f>
        <v>Copy</v>
      </c>
      <c r="L274"/>
      <c r="M274" s="2"/>
    </row>
    <row r="275" spans="1:13" x14ac:dyDescent="0.25">
      <c r="A275" s="128">
        <f t="shared" si="7"/>
        <v>0.9305555555555528</v>
      </c>
      <c r="B275" s="24">
        <f>INDEX('IDF Distributions'!$A$1:$AB$290,MATCH('Bulk Tool'!$A275,'IDF Distributions'!$A$1:$A$290,0),MATCH('Bulk Tool'!B$5,'IDF Distributions'!$A$1:$AB$1,0))*INDEX($N$5:$N$11,MATCH(B$6,$L$5:$L$11,0))*IF($E$2="Depth (mm)",(1),IF($E$2="Intensity (mm/hr)",12,0))</f>
        <v>0.26754409410174529</v>
      </c>
      <c r="C275" s="24">
        <f>INDEX('IDF Distributions'!$A$1:$AB$290,MATCH('Bulk Tool'!$A275,'IDF Distributions'!$A$1:$A$290,0),MATCH('Bulk Tool'!C$5,'IDF Distributions'!$A$1:$AB$1,0))*INDEX($N$5:$N$11,MATCH(C$6,$L$5:$L$11,0))*IF($E$2="Depth (mm)",(1),IF($E$2="Intensity (mm/hr)",12,0))</f>
        <v>0.35676055608891488</v>
      </c>
      <c r="D275" s="24">
        <f>INDEX('IDF Distributions'!$A$1:$AB$290,MATCH('Bulk Tool'!$A275,'IDF Distributions'!$A$1:$A$290,0),MATCH('Bulk Tool'!D$5,'IDF Distributions'!$A$1:$AB$1,0))*INDEX($N$5:$N$11,MATCH(D$6,$L$5:$L$11,0))*IF($E$2="Depth (mm)",(1),IF($E$2="Intensity (mm/hr)",12,0))</f>
        <v>0.42010600341889687</v>
      </c>
      <c r="E275" s="24">
        <f>INDEX('IDF Distributions'!$A$1:$AB$290,MATCH('Bulk Tool'!$A275,'IDF Distributions'!$A$1:$A$290,0),MATCH('Bulk Tool'!E$5,'IDF Distributions'!$A$1:$AB$1,0))*INDEX($N$5:$N$11,MATCH(E$6,$L$5:$L$11,0))*IF($E$2="Depth (mm)",(1),IF($E$2="Intensity (mm/hr)",12,0))</f>
        <v>0.50731370873778081</v>
      </c>
      <c r="F275" s="24">
        <f>INDEX('IDF Distributions'!$A$1:$AB$290,MATCH('Bulk Tool'!$A275,'IDF Distributions'!$A$1:$A$290,0),MATCH('Bulk Tool'!F$5,'IDF Distributions'!$A$1:$AB$1,0))*INDEX($N$5:$N$11,MATCH(F$6,$L$5:$L$11,0))*IF($E$2="Depth (mm)",(1),IF($E$2="Intensity (mm/hr)",12,0))</f>
        <v>0.57614470209083368</v>
      </c>
      <c r="G275" s="24">
        <f>INDEX('IDF Distributions'!$A$1:$AB$290,MATCH('Bulk Tool'!$A275,'IDF Distributions'!$A$1:$A$290,0),MATCH('Bulk Tool'!G$5,'IDF Distributions'!$A$1:$AB$1,0))*INDEX($N$5:$N$11,MATCH(G$6,$L$5:$L$11,0))*IF($E$2="Depth (mm)",(1),IF($E$2="Intensity (mm/hr)",12,0))</f>
        <v>0.64892335127275291</v>
      </c>
      <c r="H275" s="24">
        <f>INDEX('IDF Distributions'!$A$1:$AB$290,MATCH('Bulk Tool'!$A275,'IDF Distributions'!$A$1:$A$290,0),MATCH('Bulk Tool'!H$5,'IDF Distributions'!$A$1:$AB$1,0))*INDEX($N$5:$N$11,MATCH(H$6,$L$5:$L$11,0))*IF($E$2="Depth (mm)",(1),IF($E$2="Intensity (mm/hr)",12,0))</f>
        <v>0.72675542871728693</v>
      </c>
      <c r="I275" s="12" t="str">
        <f>IF(COUNTIF($H$7:H275,$H$7)&gt;1,"Do Not Copy","Copy")</f>
        <v>Copy</v>
      </c>
      <c r="L275"/>
      <c r="M275" s="2"/>
    </row>
    <row r="276" spans="1:13" x14ac:dyDescent="0.25">
      <c r="A276" s="128">
        <f t="shared" si="7"/>
        <v>0.93402777777777501</v>
      </c>
      <c r="B276" s="24">
        <f>INDEX('IDF Distributions'!$A$1:$AB$290,MATCH('Bulk Tool'!$A276,'IDF Distributions'!$A$1:$A$290,0),MATCH('Bulk Tool'!B$5,'IDF Distributions'!$A$1:$AB$1,0))*INDEX($N$5:$N$11,MATCH(B$6,$L$5:$L$11,0))*IF($E$2="Depth (mm)",(1),IF($E$2="Intensity (mm/hr)",12,0))</f>
        <v>0.26754409410174529</v>
      </c>
      <c r="C276" s="24">
        <f>INDEX('IDF Distributions'!$A$1:$AB$290,MATCH('Bulk Tool'!$A276,'IDF Distributions'!$A$1:$A$290,0),MATCH('Bulk Tool'!C$5,'IDF Distributions'!$A$1:$AB$1,0))*INDEX($N$5:$N$11,MATCH(C$6,$L$5:$L$11,0))*IF($E$2="Depth (mm)",(1),IF($E$2="Intensity (mm/hr)",12,0))</f>
        <v>0.35676055608891488</v>
      </c>
      <c r="D276" s="24">
        <f>INDEX('IDF Distributions'!$A$1:$AB$290,MATCH('Bulk Tool'!$A276,'IDF Distributions'!$A$1:$A$290,0),MATCH('Bulk Tool'!D$5,'IDF Distributions'!$A$1:$AB$1,0))*INDEX($N$5:$N$11,MATCH(D$6,$L$5:$L$11,0))*IF($E$2="Depth (mm)",(1),IF($E$2="Intensity (mm/hr)",12,0))</f>
        <v>0.42010600341889687</v>
      </c>
      <c r="E276" s="24">
        <f>INDEX('IDF Distributions'!$A$1:$AB$290,MATCH('Bulk Tool'!$A276,'IDF Distributions'!$A$1:$A$290,0),MATCH('Bulk Tool'!E$5,'IDF Distributions'!$A$1:$AB$1,0))*INDEX($N$5:$N$11,MATCH(E$6,$L$5:$L$11,0))*IF($E$2="Depth (mm)",(1),IF($E$2="Intensity (mm/hr)",12,0))</f>
        <v>0.50731370873778081</v>
      </c>
      <c r="F276" s="24">
        <f>INDEX('IDF Distributions'!$A$1:$AB$290,MATCH('Bulk Tool'!$A276,'IDF Distributions'!$A$1:$A$290,0),MATCH('Bulk Tool'!F$5,'IDF Distributions'!$A$1:$AB$1,0))*INDEX($N$5:$N$11,MATCH(F$6,$L$5:$L$11,0))*IF($E$2="Depth (mm)",(1),IF($E$2="Intensity (mm/hr)",12,0))</f>
        <v>0.57614470209083368</v>
      </c>
      <c r="G276" s="24">
        <f>INDEX('IDF Distributions'!$A$1:$AB$290,MATCH('Bulk Tool'!$A276,'IDF Distributions'!$A$1:$A$290,0),MATCH('Bulk Tool'!G$5,'IDF Distributions'!$A$1:$AB$1,0))*INDEX($N$5:$N$11,MATCH(G$6,$L$5:$L$11,0))*IF($E$2="Depth (mm)",(1),IF($E$2="Intensity (mm/hr)",12,0))</f>
        <v>0.64892335127275291</v>
      </c>
      <c r="H276" s="24">
        <f>INDEX('IDF Distributions'!$A$1:$AB$290,MATCH('Bulk Tool'!$A276,'IDF Distributions'!$A$1:$A$290,0),MATCH('Bulk Tool'!H$5,'IDF Distributions'!$A$1:$AB$1,0))*INDEX($N$5:$N$11,MATCH(H$6,$L$5:$L$11,0))*IF($E$2="Depth (mm)",(1),IF($E$2="Intensity (mm/hr)",12,0))</f>
        <v>0.72675542871728693</v>
      </c>
      <c r="I276" s="12" t="str">
        <f>IF(COUNTIF($H$7:H276,$H$7)&gt;1,"Do Not Copy","Copy")</f>
        <v>Copy</v>
      </c>
      <c r="L276"/>
      <c r="M276" s="2"/>
    </row>
    <row r="277" spans="1:13" x14ac:dyDescent="0.25">
      <c r="A277" s="128">
        <f t="shared" si="7"/>
        <v>0.93749999999999722</v>
      </c>
      <c r="B277" s="24">
        <f>INDEX('IDF Distributions'!$A$1:$AB$290,MATCH('Bulk Tool'!$A277,'IDF Distributions'!$A$1:$A$290,0),MATCH('Bulk Tool'!B$5,'IDF Distributions'!$A$1:$AB$1,0))*INDEX($N$5:$N$11,MATCH(B$6,$L$5:$L$11,0))*IF($E$2="Depth (mm)",(1),IF($E$2="Intensity (mm/hr)",12,0))</f>
        <v>0.26011231371001453</v>
      </c>
      <c r="C277" s="24">
        <f>INDEX('IDF Distributions'!$A$1:$AB$290,MATCH('Bulk Tool'!$A277,'IDF Distributions'!$A$1:$A$290,0),MATCH('Bulk Tool'!C$5,'IDF Distributions'!$A$1:$AB$1,0))*INDEX($N$5:$N$11,MATCH(C$6,$L$5:$L$11,0))*IF($E$2="Depth (mm)",(1),IF($E$2="Intensity (mm/hr)",12,0))</f>
        <v>0.34685054064197979</v>
      </c>
      <c r="D277" s="24">
        <f>INDEX('IDF Distributions'!$A$1:$AB$290,MATCH('Bulk Tool'!$A277,'IDF Distributions'!$A$1:$A$290,0),MATCH('Bulk Tool'!D$5,'IDF Distributions'!$A$1:$AB$1,0))*INDEX($N$5:$N$11,MATCH(D$6,$L$5:$L$11,0))*IF($E$2="Depth (mm)",(1),IF($E$2="Intensity (mm/hr)",12,0))</f>
        <v>0.40843639221279193</v>
      </c>
      <c r="E277" s="24">
        <f>INDEX('IDF Distributions'!$A$1:$AB$290,MATCH('Bulk Tool'!$A277,'IDF Distributions'!$A$1:$A$290,0),MATCH('Bulk Tool'!E$5,'IDF Distributions'!$A$1:$AB$1,0))*INDEX($N$5:$N$11,MATCH(E$6,$L$5:$L$11,0))*IF($E$2="Depth (mm)",(1),IF($E$2="Intensity (mm/hr)",12,0))</f>
        <v>0.49322166127281292</v>
      </c>
      <c r="F277" s="24">
        <f>INDEX('IDF Distributions'!$A$1:$AB$290,MATCH('Bulk Tool'!$A277,'IDF Distributions'!$A$1:$A$290,0),MATCH('Bulk Tool'!F$5,'IDF Distributions'!$A$1:$AB$1,0))*INDEX($N$5:$N$11,MATCH(F$6,$L$5:$L$11,0))*IF($E$2="Depth (mm)",(1),IF($E$2="Intensity (mm/hr)",12,0))</f>
        <v>0.56014068258827687</v>
      </c>
      <c r="G277" s="24">
        <f>INDEX('IDF Distributions'!$A$1:$AB$290,MATCH('Bulk Tool'!$A277,'IDF Distributions'!$A$1:$A$290,0),MATCH('Bulk Tool'!G$5,'IDF Distributions'!$A$1:$AB$1,0))*INDEX($N$5:$N$11,MATCH(G$6,$L$5:$L$11,0))*IF($E$2="Depth (mm)",(1),IF($E$2="Intensity (mm/hr)",12,0))</f>
        <v>0.63089770262624978</v>
      </c>
      <c r="H277" s="24">
        <f>INDEX('IDF Distributions'!$A$1:$AB$290,MATCH('Bulk Tool'!$A277,'IDF Distributions'!$A$1:$A$290,0),MATCH('Bulk Tool'!H$5,'IDF Distributions'!$A$1:$AB$1,0))*INDEX($N$5:$N$11,MATCH(H$6,$L$5:$L$11,0))*IF($E$2="Depth (mm)",(1),IF($E$2="Intensity (mm/hr)",12,0))</f>
        <v>0.70656777791954217</v>
      </c>
      <c r="I277" s="12" t="str">
        <f>IF(COUNTIF($H$7:H277,$H$7)&gt;1,"Do Not Copy","Copy")</f>
        <v>Copy</v>
      </c>
      <c r="L277"/>
      <c r="M277" s="2"/>
    </row>
    <row r="278" spans="1:13" x14ac:dyDescent="0.25">
      <c r="A278" s="128">
        <f t="shared" si="7"/>
        <v>0.94097222222221943</v>
      </c>
      <c r="B278" s="24">
        <f>INDEX('IDF Distributions'!$A$1:$AB$290,MATCH('Bulk Tool'!$A278,'IDF Distributions'!$A$1:$A$290,0),MATCH('Bulk Tool'!B$5,'IDF Distributions'!$A$1:$AB$1,0))*INDEX($N$5:$N$11,MATCH(B$6,$L$5:$L$11,0))*IF($E$2="Depth (mm)",(1),IF($E$2="Intensity (mm/hr)",12,0))</f>
        <v>0.26011231371003107</v>
      </c>
      <c r="C278" s="24">
        <f>INDEX('IDF Distributions'!$A$1:$AB$290,MATCH('Bulk Tool'!$A278,'IDF Distributions'!$A$1:$A$290,0),MATCH('Bulk Tool'!C$5,'IDF Distributions'!$A$1:$AB$1,0))*INDEX($N$5:$N$11,MATCH(C$6,$L$5:$L$11,0))*IF($E$2="Depth (mm)",(1),IF($E$2="Intensity (mm/hr)",12,0))</f>
        <v>0.34685054064200177</v>
      </c>
      <c r="D278" s="24">
        <f>INDEX('IDF Distributions'!$A$1:$AB$290,MATCH('Bulk Tool'!$A278,'IDF Distributions'!$A$1:$A$290,0),MATCH('Bulk Tool'!D$5,'IDF Distributions'!$A$1:$AB$1,0))*INDEX($N$5:$N$11,MATCH(D$6,$L$5:$L$11,0))*IF($E$2="Depth (mm)",(1),IF($E$2="Intensity (mm/hr)",12,0))</f>
        <v>0.4084363922128178</v>
      </c>
      <c r="E278" s="24">
        <f>INDEX('IDF Distributions'!$A$1:$AB$290,MATCH('Bulk Tool'!$A278,'IDF Distributions'!$A$1:$A$290,0),MATCH('Bulk Tool'!E$5,'IDF Distributions'!$A$1:$AB$1,0))*INDEX($N$5:$N$11,MATCH(E$6,$L$5:$L$11,0))*IF($E$2="Depth (mm)",(1),IF($E$2="Intensity (mm/hr)",12,0))</f>
        <v>0.49322166127284423</v>
      </c>
      <c r="F278" s="24">
        <f>INDEX('IDF Distributions'!$A$1:$AB$290,MATCH('Bulk Tool'!$A278,'IDF Distributions'!$A$1:$A$290,0),MATCH('Bulk Tool'!F$5,'IDF Distributions'!$A$1:$AB$1,0))*INDEX($N$5:$N$11,MATCH(F$6,$L$5:$L$11,0))*IF($E$2="Depth (mm)",(1),IF($E$2="Intensity (mm/hr)",12,0))</f>
        <v>0.56014068258831251</v>
      </c>
      <c r="G278" s="24">
        <f>INDEX('IDF Distributions'!$A$1:$AB$290,MATCH('Bulk Tool'!$A278,'IDF Distributions'!$A$1:$A$290,0),MATCH('Bulk Tool'!G$5,'IDF Distributions'!$A$1:$AB$1,0))*INDEX($N$5:$N$11,MATCH(G$6,$L$5:$L$11,0))*IF($E$2="Depth (mm)",(1),IF($E$2="Intensity (mm/hr)",12,0))</f>
        <v>0.63089770262628975</v>
      </c>
      <c r="H278" s="24">
        <f>INDEX('IDF Distributions'!$A$1:$AB$290,MATCH('Bulk Tool'!$A278,'IDF Distributions'!$A$1:$A$290,0),MATCH('Bulk Tool'!H$5,'IDF Distributions'!$A$1:$AB$1,0))*INDEX($N$5:$N$11,MATCH(H$6,$L$5:$L$11,0))*IF($E$2="Depth (mm)",(1),IF($E$2="Intensity (mm/hr)",12,0))</f>
        <v>0.70656777791958703</v>
      </c>
      <c r="I278" s="12" t="str">
        <f>IF(COUNTIF($H$7:H278,$H$7)&gt;1,"Do Not Copy","Copy")</f>
        <v>Copy</v>
      </c>
      <c r="L278"/>
      <c r="M278" s="2"/>
    </row>
    <row r="279" spans="1:13" x14ac:dyDescent="0.25">
      <c r="A279" s="128">
        <f t="shared" si="7"/>
        <v>0.94444444444444164</v>
      </c>
      <c r="B279" s="24">
        <f>INDEX('IDF Distributions'!$A$1:$AB$290,MATCH('Bulk Tool'!$A279,'IDF Distributions'!$A$1:$A$290,0),MATCH('Bulk Tool'!B$5,'IDF Distributions'!$A$1:$AB$1,0))*INDEX($N$5:$N$11,MATCH(B$6,$L$5:$L$11,0))*IF($E$2="Depth (mm)",(1),IF($E$2="Intensity (mm/hr)",12,0))</f>
        <v>0.2601123137100475</v>
      </c>
      <c r="C279" s="24">
        <f>INDEX('IDF Distributions'!$A$1:$AB$290,MATCH('Bulk Tool'!$A279,'IDF Distributions'!$A$1:$A$290,0),MATCH('Bulk Tool'!C$5,'IDF Distributions'!$A$1:$AB$1,0))*INDEX($N$5:$N$11,MATCH(C$6,$L$5:$L$11,0))*IF($E$2="Depth (mm)",(1),IF($E$2="Intensity (mm/hr)",12,0))</f>
        <v>0.34685054064202381</v>
      </c>
      <c r="D279" s="24">
        <f>INDEX('IDF Distributions'!$A$1:$AB$290,MATCH('Bulk Tool'!$A279,'IDF Distributions'!$A$1:$A$290,0),MATCH('Bulk Tool'!D$5,'IDF Distributions'!$A$1:$AB$1,0))*INDEX($N$5:$N$11,MATCH(D$6,$L$5:$L$11,0))*IF($E$2="Depth (mm)",(1),IF($E$2="Intensity (mm/hr)",12,0))</f>
        <v>0.40843639221284372</v>
      </c>
      <c r="E279" s="24">
        <f>INDEX('IDF Distributions'!$A$1:$AB$290,MATCH('Bulk Tool'!$A279,'IDF Distributions'!$A$1:$A$290,0),MATCH('Bulk Tool'!E$5,'IDF Distributions'!$A$1:$AB$1,0))*INDEX($N$5:$N$11,MATCH(E$6,$L$5:$L$11,0))*IF($E$2="Depth (mm)",(1),IF($E$2="Intensity (mm/hr)",12,0))</f>
        <v>0.49322166127287548</v>
      </c>
      <c r="F279" s="24">
        <f>INDEX('IDF Distributions'!$A$1:$AB$290,MATCH('Bulk Tool'!$A279,'IDF Distributions'!$A$1:$A$290,0),MATCH('Bulk Tool'!F$5,'IDF Distributions'!$A$1:$AB$1,0))*INDEX($N$5:$N$11,MATCH(F$6,$L$5:$L$11,0))*IF($E$2="Depth (mm)",(1),IF($E$2="Intensity (mm/hr)",12,0))</f>
        <v>0.56014068258834804</v>
      </c>
      <c r="G279" s="24">
        <f>INDEX('IDF Distributions'!$A$1:$AB$290,MATCH('Bulk Tool'!$A279,'IDF Distributions'!$A$1:$A$290,0),MATCH('Bulk Tool'!G$5,'IDF Distributions'!$A$1:$AB$1,0))*INDEX($N$5:$N$11,MATCH(G$6,$L$5:$L$11,0))*IF($E$2="Depth (mm)",(1),IF($E$2="Intensity (mm/hr)",12,0))</f>
        <v>0.63089770262632983</v>
      </c>
      <c r="H279" s="24">
        <f>INDEX('IDF Distributions'!$A$1:$AB$290,MATCH('Bulk Tool'!$A279,'IDF Distributions'!$A$1:$A$290,0),MATCH('Bulk Tool'!H$5,'IDF Distributions'!$A$1:$AB$1,0))*INDEX($N$5:$N$11,MATCH(H$6,$L$5:$L$11,0))*IF($E$2="Depth (mm)",(1),IF($E$2="Intensity (mm/hr)",12,0))</f>
        <v>0.70656777791963177</v>
      </c>
      <c r="I279" s="12" t="str">
        <f>IF(COUNTIF($H$7:H279,$H$7)&gt;1,"Do Not Copy","Copy")</f>
        <v>Copy</v>
      </c>
      <c r="L279"/>
      <c r="M279" s="2"/>
    </row>
    <row r="280" spans="1:13" x14ac:dyDescent="0.25">
      <c r="A280" s="128">
        <f t="shared" si="7"/>
        <v>0.94791666666666385</v>
      </c>
      <c r="B280" s="24">
        <f>INDEX('IDF Distributions'!$A$1:$AB$290,MATCH('Bulk Tool'!$A280,'IDF Distributions'!$A$1:$A$290,0),MATCH('Bulk Tool'!B$5,'IDF Distributions'!$A$1:$AB$1,0))*INDEX($N$5:$N$11,MATCH(B$6,$L$5:$L$11,0))*IF($E$2="Depth (mm)",(1),IF($E$2="Intensity (mm/hr)",12,0))</f>
        <v>0.26011231371001453</v>
      </c>
      <c r="C280" s="24">
        <f>INDEX('IDF Distributions'!$A$1:$AB$290,MATCH('Bulk Tool'!$A280,'IDF Distributions'!$A$1:$A$290,0),MATCH('Bulk Tool'!C$5,'IDF Distributions'!$A$1:$AB$1,0))*INDEX($N$5:$N$11,MATCH(C$6,$L$5:$L$11,0))*IF($E$2="Depth (mm)",(1),IF($E$2="Intensity (mm/hr)",12,0))</f>
        <v>0.34685054064197979</v>
      </c>
      <c r="D280" s="24">
        <f>INDEX('IDF Distributions'!$A$1:$AB$290,MATCH('Bulk Tool'!$A280,'IDF Distributions'!$A$1:$A$290,0),MATCH('Bulk Tool'!D$5,'IDF Distributions'!$A$1:$AB$1,0))*INDEX($N$5:$N$11,MATCH(D$6,$L$5:$L$11,0))*IF($E$2="Depth (mm)",(1),IF($E$2="Intensity (mm/hr)",12,0))</f>
        <v>0.40843639221279193</v>
      </c>
      <c r="E280" s="24">
        <f>INDEX('IDF Distributions'!$A$1:$AB$290,MATCH('Bulk Tool'!$A280,'IDF Distributions'!$A$1:$A$290,0),MATCH('Bulk Tool'!E$5,'IDF Distributions'!$A$1:$AB$1,0))*INDEX($N$5:$N$11,MATCH(E$6,$L$5:$L$11,0))*IF($E$2="Depth (mm)",(1),IF($E$2="Intensity (mm/hr)",12,0))</f>
        <v>0.49322166127281292</v>
      </c>
      <c r="F280" s="24">
        <f>INDEX('IDF Distributions'!$A$1:$AB$290,MATCH('Bulk Tool'!$A280,'IDF Distributions'!$A$1:$A$290,0),MATCH('Bulk Tool'!F$5,'IDF Distributions'!$A$1:$AB$1,0))*INDEX($N$5:$N$11,MATCH(F$6,$L$5:$L$11,0))*IF($E$2="Depth (mm)",(1),IF($E$2="Intensity (mm/hr)",12,0))</f>
        <v>0.56014068258827687</v>
      </c>
      <c r="G280" s="24">
        <f>INDEX('IDF Distributions'!$A$1:$AB$290,MATCH('Bulk Tool'!$A280,'IDF Distributions'!$A$1:$A$290,0),MATCH('Bulk Tool'!G$5,'IDF Distributions'!$A$1:$AB$1,0))*INDEX($N$5:$N$11,MATCH(G$6,$L$5:$L$11,0))*IF($E$2="Depth (mm)",(1),IF($E$2="Intensity (mm/hr)",12,0))</f>
        <v>0.63089770262624978</v>
      </c>
      <c r="H280" s="24">
        <f>INDEX('IDF Distributions'!$A$1:$AB$290,MATCH('Bulk Tool'!$A280,'IDF Distributions'!$A$1:$A$290,0),MATCH('Bulk Tool'!H$5,'IDF Distributions'!$A$1:$AB$1,0))*INDEX($N$5:$N$11,MATCH(H$6,$L$5:$L$11,0))*IF($E$2="Depth (mm)",(1),IF($E$2="Intensity (mm/hr)",12,0))</f>
        <v>0.70656777791954217</v>
      </c>
      <c r="I280" s="12" t="str">
        <f>IF(COUNTIF($H$7:H280,$H$7)&gt;1,"Do Not Copy","Copy")</f>
        <v>Copy</v>
      </c>
      <c r="L280"/>
      <c r="M280" s="2"/>
    </row>
    <row r="281" spans="1:13" x14ac:dyDescent="0.25">
      <c r="A281" s="128">
        <f t="shared" si="7"/>
        <v>0.95138888888888606</v>
      </c>
      <c r="B281" s="24">
        <f>INDEX('IDF Distributions'!$A$1:$AB$290,MATCH('Bulk Tool'!$A281,'IDF Distributions'!$A$1:$A$290,0),MATCH('Bulk Tool'!B$5,'IDF Distributions'!$A$1:$AB$1,0))*INDEX($N$5:$N$11,MATCH(B$6,$L$5:$L$11,0))*IF($E$2="Depth (mm)",(1),IF($E$2="Intensity (mm/hr)",12,0))</f>
        <v>0.2526805333183168</v>
      </c>
      <c r="C281" s="24">
        <f>INDEX('IDF Distributions'!$A$1:$AB$290,MATCH('Bulk Tool'!$A281,'IDF Distributions'!$A$1:$A$290,0),MATCH('Bulk Tool'!C$5,'IDF Distributions'!$A$1:$AB$1,0))*INDEX($N$5:$N$11,MATCH(C$6,$L$5:$L$11,0))*IF($E$2="Depth (mm)",(1),IF($E$2="Intensity (mm/hr)",12,0))</f>
        <v>0.33694052519508871</v>
      </c>
      <c r="D281" s="24">
        <f>INDEX('IDF Distributions'!$A$1:$AB$290,MATCH('Bulk Tool'!$A281,'IDF Distributions'!$A$1:$A$290,0),MATCH('Bulk Tool'!D$5,'IDF Distributions'!$A$1:$AB$1,0))*INDEX($N$5:$N$11,MATCH(D$6,$L$5:$L$11,0))*IF($E$2="Depth (mm)",(1),IF($E$2="Intensity (mm/hr)",12,0))</f>
        <v>0.39676678100673879</v>
      </c>
      <c r="E281" s="24">
        <f>INDEX('IDF Distributions'!$A$1:$AB$290,MATCH('Bulk Tool'!$A281,'IDF Distributions'!$A$1:$A$290,0),MATCH('Bulk Tool'!E$5,'IDF Distributions'!$A$1:$AB$1,0))*INDEX($N$5:$N$11,MATCH(E$6,$L$5:$L$11,0))*IF($E$2="Depth (mm)",(1),IF($E$2="Intensity (mm/hr)",12,0))</f>
        <v>0.47912961380790758</v>
      </c>
      <c r="F281" s="24">
        <f>INDEX('IDF Distributions'!$A$1:$AB$290,MATCH('Bulk Tool'!$A281,'IDF Distributions'!$A$1:$A$290,0),MATCH('Bulk Tool'!F$5,'IDF Distributions'!$A$1:$AB$1,0))*INDEX($N$5:$N$11,MATCH(F$6,$L$5:$L$11,0))*IF($E$2="Depth (mm)",(1),IF($E$2="Intensity (mm/hr)",12,0))</f>
        <v>0.54413666308579123</v>
      </c>
      <c r="G281" s="24">
        <f>INDEX('IDF Distributions'!$A$1:$AB$290,MATCH('Bulk Tool'!$A281,'IDF Distributions'!$A$1:$A$290,0),MATCH('Bulk Tool'!G$5,'IDF Distributions'!$A$1:$AB$1,0))*INDEX($N$5:$N$11,MATCH(G$6,$L$5:$L$11,0))*IF($E$2="Depth (mm)",(1),IF($E$2="Intensity (mm/hr)",12,0))</f>
        <v>0.61287205397982669</v>
      </c>
      <c r="H281" s="24">
        <f>INDEX('IDF Distributions'!$A$1:$AB$290,MATCH('Bulk Tool'!$A281,'IDF Distributions'!$A$1:$A$290,0),MATCH('Bulk Tool'!H$5,'IDF Distributions'!$A$1:$AB$1,0))*INDEX($N$5:$N$11,MATCH(H$6,$L$5:$L$11,0))*IF($E$2="Depth (mm)",(1),IF($E$2="Intensity (mm/hr)",12,0))</f>
        <v>0.68638012712188701</v>
      </c>
      <c r="I281" s="12" t="str">
        <f>IF(COUNTIF($H$7:H281,$H$7)&gt;1,"Do Not Copy","Copy")</f>
        <v>Copy</v>
      </c>
      <c r="L281"/>
      <c r="M281" s="2"/>
    </row>
    <row r="282" spans="1:13" x14ac:dyDescent="0.25">
      <c r="A282" s="128">
        <f t="shared" si="7"/>
        <v>0.95486111111110827</v>
      </c>
      <c r="B282" s="24">
        <f>INDEX('IDF Distributions'!$A$1:$AB$290,MATCH('Bulk Tool'!$A282,'IDF Distributions'!$A$1:$A$290,0),MATCH('Bulk Tool'!B$5,'IDF Distributions'!$A$1:$AB$1,0))*INDEX($N$5:$N$11,MATCH(B$6,$L$5:$L$11,0))*IF($E$2="Depth (mm)",(1),IF($E$2="Intensity (mm/hr)",12,0))</f>
        <v>0.24772601305717395</v>
      </c>
      <c r="C282" s="24">
        <f>INDEX('IDF Distributions'!$A$1:$AB$290,MATCH('Bulk Tool'!$A282,'IDF Distributions'!$A$1:$A$290,0),MATCH('Bulk Tool'!C$5,'IDF Distributions'!$A$1:$AB$1,0))*INDEX($N$5:$N$11,MATCH(C$6,$L$5:$L$11,0))*IF($E$2="Depth (mm)",(1),IF($E$2="Intensity (mm/hr)",12,0))</f>
        <v>0.33033384823047995</v>
      </c>
      <c r="D282" s="24">
        <f>INDEX('IDF Distributions'!$A$1:$AB$290,MATCH('Bulk Tool'!$A282,'IDF Distributions'!$A$1:$A$290,0),MATCH('Bulk Tool'!D$5,'IDF Distributions'!$A$1:$AB$1,0))*INDEX($N$5:$N$11,MATCH(D$6,$L$5:$L$11,0))*IF($E$2="Depth (mm)",(1),IF($E$2="Intensity (mm/hr)",12,0))</f>
        <v>0.38898704020268615</v>
      </c>
      <c r="E282" s="24">
        <f>INDEX('IDF Distributions'!$A$1:$AB$290,MATCH('Bulk Tool'!$A282,'IDF Distributions'!$A$1:$A$290,0),MATCH('Bulk Tool'!E$5,'IDF Distributions'!$A$1:$AB$1,0))*INDEX($N$5:$N$11,MATCH(E$6,$L$5:$L$11,0))*IF($E$2="Depth (mm)",(1),IF($E$2="Intensity (mm/hr)",12,0))</f>
        <v>0.46973491549794988</v>
      </c>
      <c r="F282" s="24">
        <f>INDEX('IDF Distributions'!$A$1:$AB$290,MATCH('Bulk Tool'!$A282,'IDF Distributions'!$A$1:$A$290,0),MATCH('Bulk Tool'!F$5,'IDF Distributions'!$A$1:$AB$1,0))*INDEX($N$5:$N$11,MATCH(F$6,$L$5:$L$11,0))*IF($E$2="Depth (mm)",(1),IF($E$2="Intensity (mm/hr)",12,0))</f>
        <v>0.53346731675077719</v>
      </c>
      <c r="G282" s="24">
        <f>INDEX('IDF Distributions'!$A$1:$AB$290,MATCH('Bulk Tool'!$A282,'IDF Distributions'!$A$1:$A$290,0),MATCH('Bulk Tool'!G$5,'IDF Distributions'!$A$1:$AB$1,0))*INDEX($N$5:$N$11,MATCH(G$6,$L$5:$L$11,0))*IF($E$2="Depth (mm)",(1),IF($E$2="Intensity (mm/hr)",12,0))</f>
        <v>0.60085495488218454</v>
      </c>
      <c r="H282" s="24">
        <f>INDEX('IDF Distributions'!$A$1:$AB$290,MATCH('Bulk Tool'!$A282,'IDF Distributions'!$A$1:$A$290,0),MATCH('Bulk Tool'!H$5,'IDF Distributions'!$A$1:$AB$1,0))*INDEX($N$5:$N$11,MATCH(H$6,$L$5:$L$11,0))*IF($E$2="Depth (mm)",(1),IF($E$2="Intensity (mm/hr)",12,0))</f>
        <v>0.67292169325675377</v>
      </c>
      <c r="I282" s="12" t="str">
        <f>IF(COUNTIF($H$7:H282,$H$7)&gt;1,"Do Not Copy","Copy")</f>
        <v>Copy</v>
      </c>
      <c r="L282"/>
      <c r="M282" s="2"/>
    </row>
    <row r="283" spans="1:13" x14ac:dyDescent="0.25">
      <c r="A283" s="128">
        <f t="shared" si="7"/>
        <v>0.95833333333333048</v>
      </c>
      <c r="B283" s="24">
        <f>INDEX('IDF Distributions'!$A$1:$AB$290,MATCH('Bulk Tool'!$A283,'IDF Distributions'!$A$1:$A$290,0),MATCH('Bulk Tool'!B$5,'IDF Distributions'!$A$1:$AB$1,0))*INDEX($N$5:$N$11,MATCH(B$6,$L$5:$L$11,0))*IF($E$2="Depth (mm)",(1),IF($E$2="Intensity (mm/hr)",12,0))</f>
        <v>0.25020327318772889</v>
      </c>
      <c r="C283" s="24">
        <f>INDEX('IDF Distributions'!$A$1:$AB$290,MATCH('Bulk Tool'!$A283,'IDF Distributions'!$A$1:$A$290,0),MATCH('Bulk Tool'!C$5,'IDF Distributions'!$A$1:$AB$1,0))*INDEX($N$5:$N$11,MATCH(C$6,$L$5:$L$11,0))*IF($E$2="Depth (mm)",(1),IF($E$2="Intensity (mm/hr)",12,0))</f>
        <v>0.33363718671276232</v>
      </c>
      <c r="D283" s="24">
        <f>INDEX('IDF Distributions'!$A$1:$AB$290,MATCH('Bulk Tool'!$A283,'IDF Distributions'!$A$1:$A$290,0),MATCH('Bulk Tool'!D$5,'IDF Distributions'!$A$1:$AB$1,0))*INDEX($N$5:$N$11,MATCH(D$6,$L$5:$L$11,0))*IF($E$2="Depth (mm)",(1),IF($E$2="Intensity (mm/hr)",12,0))</f>
        <v>0.39287691060468655</v>
      </c>
      <c r="E283" s="24">
        <f>INDEX('IDF Distributions'!$A$1:$AB$290,MATCH('Bulk Tool'!$A283,'IDF Distributions'!$A$1:$A$290,0),MATCH('Bulk Tool'!E$5,'IDF Distributions'!$A$1:$AB$1,0))*INDEX($N$5:$N$11,MATCH(E$6,$L$5:$L$11,0))*IF($E$2="Depth (mm)",(1),IF($E$2="Intensity (mm/hr)",12,0))</f>
        <v>0.47443226465289745</v>
      </c>
      <c r="F283" s="24">
        <f>INDEX('IDF Distributions'!$A$1:$AB$290,MATCH('Bulk Tool'!$A283,'IDF Distributions'!$A$1:$A$290,0),MATCH('Bulk Tool'!F$5,'IDF Distributions'!$A$1:$AB$1,0))*INDEX($N$5:$N$11,MATCH(F$6,$L$5:$L$11,0))*IF($E$2="Depth (mm)",(1),IF($E$2="Intensity (mm/hr)",12,0))</f>
        <v>0.53880198991824868</v>
      </c>
      <c r="G283" s="24">
        <f>INDEX('IDF Distributions'!$A$1:$AB$290,MATCH('Bulk Tool'!$A283,'IDF Distributions'!$A$1:$A$290,0),MATCH('Bulk Tool'!G$5,'IDF Distributions'!$A$1:$AB$1,0))*INDEX($N$5:$N$11,MATCH(G$6,$L$5:$L$11,0))*IF($E$2="Depth (mm)",(1),IF($E$2="Intensity (mm/hr)",12,0))</f>
        <v>0.60686350443096559</v>
      </c>
      <c r="H283" s="24">
        <f>INDEX('IDF Distributions'!$A$1:$AB$290,MATCH('Bulk Tool'!$A283,'IDF Distributions'!$A$1:$A$290,0),MATCH('Bulk Tool'!H$5,'IDF Distributions'!$A$1:$AB$1,0))*INDEX($N$5:$N$11,MATCH(H$6,$L$5:$L$11,0))*IF($E$2="Depth (mm)",(1),IF($E$2="Intensity (mm/hr)",12,0))</f>
        <v>0.67965091018927559</v>
      </c>
      <c r="I283" s="12" t="str">
        <f>IF(COUNTIF($H$7:H283,$H$7)&gt;1,"Do Not Copy","Copy")</f>
        <v>Copy</v>
      </c>
      <c r="L283"/>
      <c r="M283" s="2"/>
    </row>
    <row r="284" spans="1:13" x14ac:dyDescent="0.25">
      <c r="A284" s="128">
        <f t="shared" si="7"/>
        <v>0.96180555555555269</v>
      </c>
      <c r="B284" s="24">
        <f>INDEX('IDF Distributions'!$A$1:$AB$290,MATCH('Bulk Tool'!$A284,'IDF Distributions'!$A$1:$A$290,0),MATCH('Bulk Tool'!B$5,'IDF Distributions'!$A$1:$AB$1,0))*INDEX($N$5:$N$11,MATCH(B$6,$L$5:$L$11,0))*IF($E$2="Depth (mm)",(1),IF($E$2="Intensity (mm/hr)",12,0))</f>
        <v>0.26011231371003107</v>
      </c>
      <c r="C284" s="24">
        <f>INDEX('IDF Distributions'!$A$1:$AB$290,MATCH('Bulk Tool'!$A284,'IDF Distributions'!$A$1:$A$290,0),MATCH('Bulk Tool'!C$5,'IDF Distributions'!$A$1:$AB$1,0))*INDEX($N$5:$N$11,MATCH(C$6,$L$5:$L$11,0))*IF($E$2="Depth (mm)",(1),IF($E$2="Intensity (mm/hr)",12,0))</f>
        <v>0.34685054064200177</v>
      </c>
      <c r="D284" s="24">
        <f>INDEX('IDF Distributions'!$A$1:$AB$290,MATCH('Bulk Tool'!$A284,'IDF Distributions'!$A$1:$A$290,0),MATCH('Bulk Tool'!D$5,'IDF Distributions'!$A$1:$AB$1,0))*INDEX($N$5:$N$11,MATCH(D$6,$L$5:$L$11,0))*IF($E$2="Depth (mm)",(1),IF($E$2="Intensity (mm/hr)",12,0))</f>
        <v>0.4084363922128178</v>
      </c>
      <c r="E284" s="24">
        <f>INDEX('IDF Distributions'!$A$1:$AB$290,MATCH('Bulk Tool'!$A284,'IDF Distributions'!$A$1:$A$290,0),MATCH('Bulk Tool'!E$5,'IDF Distributions'!$A$1:$AB$1,0))*INDEX($N$5:$N$11,MATCH(E$6,$L$5:$L$11,0))*IF($E$2="Depth (mm)",(1),IF($E$2="Intensity (mm/hr)",12,0))</f>
        <v>0.49322166127284423</v>
      </c>
      <c r="F284" s="24">
        <f>INDEX('IDF Distributions'!$A$1:$AB$290,MATCH('Bulk Tool'!$A284,'IDF Distributions'!$A$1:$A$290,0),MATCH('Bulk Tool'!F$5,'IDF Distributions'!$A$1:$AB$1,0))*INDEX($N$5:$N$11,MATCH(F$6,$L$5:$L$11,0))*IF($E$2="Depth (mm)",(1),IF($E$2="Intensity (mm/hr)",12,0))</f>
        <v>0.56014068258831251</v>
      </c>
      <c r="G284" s="24">
        <f>INDEX('IDF Distributions'!$A$1:$AB$290,MATCH('Bulk Tool'!$A284,'IDF Distributions'!$A$1:$A$290,0),MATCH('Bulk Tool'!G$5,'IDF Distributions'!$A$1:$AB$1,0))*INDEX($N$5:$N$11,MATCH(G$6,$L$5:$L$11,0))*IF($E$2="Depth (mm)",(1),IF($E$2="Intensity (mm/hr)",12,0))</f>
        <v>0.63089770262628975</v>
      </c>
      <c r="H284" s="24">
        <f>INDEX('IDF Distributions'!$A$1:$AB$290,MATCH('Bulk Tool'!$A284,'IDF Distributions'!$A$1:$A$290,0),MATCH('Bulk Tool'!H$5,'IDF Distributions'!$A$1:$AB$1,0))*INDEX($N$5:$N$11,MATCH(H$6,$L$5:$L$11,0))*IF($E$2="Depth (mm)",(1),IF($E$2="Intensity (mm/hr)",12,0))</f>
        <v>0.70656777791958703</v>
      </c>
      <c r="I284" s="12" t="str">
        <f>IF(COUNTIF($H$7:H284,$H$7)&gt;1,"Do Not Copy","Copy")</f>
        <v>Copy</v>
      </c>
      <c r="L284"/>
      <c r="M284" s="2"/>
    </row>
    <row r="285" spans="1:13" x14ac:dyDescent="0.25">
      <c r="A285" s="128">
        <f t="shared" si="7"/>
        <v>0.9652777777777749</v>
      </c>
      <c r="B285" s="24">
        <f>INDEX('IDF Distributions'!$A$1:$AB$290,MATCH('Bulk Tool'!$A285,'IDF Distributions'!$A$1:$A$290,0),MATCH('Bulk Tool'!B$5,'IDF Distributions'!$A$1:$AB$1,0))*INDEX($N$5:$N$11,MATCH(B$6,$L$5:$L$11,0))*IF($E$2="Depth (mm)",(1),IF($E$2="Intensity (mm/hr)",12,0))</f>
        <v>0.24772601305717395</v>
      </c>
      <c r="C285" s="24">
        <f>INDEX('IDF Distributions'!$A$1:$AB$290,MATCH('Bulk Tool'!$A285,'IDF Distributions'!$A$1:$A$290,0),MATCH('Bulk Tool'!C$5,'IDF Distributions'!$A$1:$AB$1,0))*INDEX($N$5:$N$11,MATCH(C$6,$L$5:$L$11,0))*IF($E$2="Depth (mm)",(1),IF($E$2="Intensity (mm/hr)",12,0))</f>
        <v>0.33033384823047995</v>
      </c>
      <c r="D285" s="24">
        <f>INDEX('IDF Distributions'!$A$1:$AB$290,MATCH('Bulk Tool'!$A285,'IDF Distributions'!$A$1:$A$290,0),MATCH('Bulk Tool'!D$5,'IDF Distributions'!$A$1:$AB$1,0))*INDEX($N$5:$N$11,MATCH(D$6,$L$5:$L$11,0))*IF($E$2="Depth (mm)",(1),IF($E$2="Intensity (mm/hr)",12,0))</f>
        <v>0.38898704020268615</v>
      </c>
      <c r="E285" s="24">
        <f>INDEX('IDF Distributions'!$A$1:$AB$290,MATCH('Bulk Tool'!$A285,'IDF Distributions'!$A$1:$A$290,0),MATCH('Bulk Tool'!E$5,'IDF Distributions'!$A$1:$AB$1,0))*INDEX($N$5:$N$11,MATCH(E$6,$L$5:$L$11,0))*IF($E$2="Depth (mm)",(1),IF($E$2="Intensity (mm/hr)",12,0))</f>
        <v>0.46973491549794988</v>
      </c>
      <c r="F285" s="24">
        <f>INDEX('IDF Distributions'!$A$1:$AB$290,MATCH('Bulk Tool'!$A285,'IDF Distributions'!$A$1:$A$290,0),MATCH('Bulk Tool'!F$5,'IDF Distributions'!$A$1:$AB$1,0))*INDEX($N$5:$N$11,MATCH(F$6,$L$5:$L$11,0))*IF($E$2="Depth (mm)",(1),IF($E$2="Intensity (mm/hr)",12,0))</f>
        <v>0.53346731675077719</v>
      </c>
      <c r="G285" s="24">
        <f>INDEX('IDF Distributions'!$A$1:$AB$290,MATCH('Bulk Tool'!$A285,'IDF Distributions'!$A$1:$A$290,0),MATCH('Bulk Tool'!G$5,'IDF Distributions'!$A$1:$AB$1,0))*INDEX($N$5:$N$11,MATCH(G$6,$L$5:$L$11,0))*IF($E$2="Depth (mm)",(1),IF($E$2="Intensity (mm/hr)",12,0))</f>
        <v>0.60085495488218454</v>
      </c>
      <c r="H285" s="24">
        <f>INDEX('IDF Distributions'!$A$1:$AB$290,MATCH('Bulk Tool'!$A285,'IDF Distributions'!$A$1:$A$290,0),MATCH('Bulk Tool'!H$5,'IDF Distributions'!$A$1:$AB$1,0))*INDEX($N$5:$N$11,MATCH(H$6,$L$5:$L$11,0))*IF($E$2="Depth (mm)",(1),IF($E$2="Intensity (mm/hr)",12,0))</f>
        <v>0.67292169325675377</v>
      </c>
      <c r="I285" s="12" t="str">
        <f>IF(COUNTIF($H$7:H285,$H$7)&gt;1,"Do Not Copy","Copy")</f>
        <v>Copy</v>
      </c>
      <c r="L285"/>
      <c r="M285" s="2"/>
    </row>
    <row r="286" spans="1:13" x14ac:dyDescent="0.25">
      <c r="A286" s="128">
        <f t="shared" si="7"/>
        <v>0.96874999999999711</v>
      </c>
      <c r="B286" s="24">
        <f>INDEX('IDF Distributions'!$A$1:$AB$290,MATCH('Bulk Tool'!$A286,'IDF Distributions'!$A$1:$A$290,0),MATCH('Bulk Tool'!B$5,'IDF Distributions'!$A$1:$AB$1,0))*INDEX($N$5:$N$11,MATCH(B$6,$L$5:$L$11,0))*IF($E$2="Depth (mm)",(1),IF($E$2="Intensity (mm/hr)",12,0))</f>
        <v>0.24772601305715747</v>
      </c>
      <c r="C286" s="24">
        <f>INDEX('IDF Distributions'!$A$1:$AB$290,MATCH('Bulk Tool'!$A286,'IDF Distributions'!$A$1:$A$290,0),MATCH('Bulk Tool'!C$5,'IDF Distributions'!$A$1:$AB$1,0))*INDEX($N$5:$N$11,MATCH(C$6,$L$5:$L$11,0))*IF($E$2="Depth (mm)",(1),IF($E$2="Intensity (mm/hr)",12,0))</f>
        <v>0.33033384823045797</v>
      </c>
      <c r="D286" s="24">
        <f>INDEX('IDF Distributions'!$A$1:$AB$290,MATCH('Bulk Tool'!$A286,'IDF Distributions'!$A$1:$A$290,0),MATCH('Bulk Tool'!D$5,'IDF Distributions'!$A$1:$AB$1,0))*INDEX($N$5:$N$11,MATCH(D$6,$L$5:$L$11,0))*IF($E$2="Depth (mm)",(1),IF($E$2="Intensity (mm/hr)",12,0))</f>
        <v>0.38898704020266028</v>
      </c>
      <c r="E286" s="24">
        <f>INDEX('IDF Distributions'!$A$1:$AB$290,MATCH('Bulk Tool'!$A286,'IDF Distributions'!$A$1:$A$290,0),MATCH('Bulk Tool'!E$5,'IDF Distributions'!$A$1:$AB$1,0))*INDEX($N$5:$N$11,MATCH(E$6,$L$5:$L$11,0))*IF($E$2="Depth (mm)",(1),IF($E$2="Intensity (mm/hr)",12,0))</f>
        <v>0.46973491549791857</v>
      </c>
      <c r="F286" s="24">
        <f>INDEX('IDF Distributions'!$A$1:$AB$290,MATCH('Bulk Tool'!$A286,'IDF Distributions'!$A$1:$A$290,0),MATCH('Bulk Tool'!F$5,'IDF Distributions'!$A$1:$AB$1,0))*INDEX($N$5:$N$11,MATCH(F$6,$L$5:$L$11,0))*IF($E$2="Depth (mm)",(1),IF($E$2="Intensity (mm/hr)",12,0))</f>
        <v>0.53346731675074166</v>
      </c>
      <c r="G286" s="24">
        <f>INDEX('IDF Distributions'!$A$1:$AB$290,MATCH('Bulk Tool'!$A286,'IDF Distributions'!$A$1:$A$290,0),MATCH('Bulk Tool'!G$5,'IDF Distributions'!$A$1:$AB$1,0))*INDEX($N$5:$N$11,MATCH(G$6,$L$5:$L$11,0))*IF($E$2="Depth (mm)",(1),IF($E$2="Intensity (mm/hr)",12,0))</f>
        <v>0.60085495488214447</v>
      </c>
      <c r="H286" s="24">
        <f>INDEX('IDF Distributions'!$A$1:$AB$290,MATCH('Bulk Tool'!$A286,'IDF Distributions'!$A$1:$A$290,0),MATCH('Bulk Tool'!H$5,'IDF Distributions'!$A$1:$AB$1,0))*INDEX($N$5:$N$11,MATCH(H$6,$L$5:$L$11,0))*IF($E$2="Depth (mm)",(1),IF($E$2="Intensity (mm/hr)",12,0))</f>
        <v>0.67292169325670903</v>
      </c>
      <c r="I286" s="12" t="str">
        <f>IF(COUNTIF($H$7:H286,$H$7)&gt;1,"Do Not Copy","Copy")</f>
        <v>Copy</v>
      </c>
      <c r="L286"/>
      <c r="M286" s="2"/>
    </row>
    <row r="287" spans="1:13" x14ac:dyDescent="0.25">
      <c r="A287" s="128">
        <f t="shared" si="7"/>
        <v>0.97222222222221932</v>
      </c>
      <c r="B287" s="24">
        <f>INDEX('IDF Distributions'!$A$1:$AB$290,MATCH('Bulk Tool'!$A287,'IDF Distributions'!$A$1:$A$290,0),MATCH('Bulk Tool'!B$5,'IDF Distributions'!$A$1:$AB$1,0))*INDEX($N$5:$N$11,MATCH(B$6,$L$5:$L$11,0))*IF($E$2="Depth (mm)",(1),IF($E$2="Intensity (mm/hr)",12,0))</f>
        <v>0.24029423266544325</v>
      </c>
      <c r="C287" s="24">
        <f>INDEX('IDF Distributions'!$A$1:$AB$290,MATCH('Bulk Tool'!$A287,'IDF Distributions'!$A$1:$A$290,0),MATCH('Bulk Tool'!C$5,'IDF Distributions'!$A$1:$AB$1,0))*INDEX($N$5:$N$11,MATCH(C$6,$L$5:$L$11,0))*IF($E$2="Depth (mm)",(1),IF($E$2="Intensity (mm/hr)",12,0))</f>
        <v>0.32042383278354492</v>
      </c>
      <c r="D287" s="24">
        <f>INDEX('IDF Distributions'!$A$1:$AB$290,MATCH('Bulk Tool'!$A287,'IDF Distributions'!$A$1:$A$290,0),MATCH('Bulk Tool'!D$5,'IDF Distributions'!$A$1:$AB$1,0))*INDEX($N$5:$N$11,MATCH(D$6,$L$5:$L$11,0))*IF($E$2="Depth (mm)",(1),IF($E$2="Intensity (mm/hr)",12,0))</f>
        <v>0.37731742899658122</v>
      </c>
      <c r="E287" s="24">
        <f>INDEX('IDF Distributions'!$A$1:$AB$290,MATCH('Bulk Tool'!$A287,'IDF Distributions'!$A$1:$A$290,0),MATCH('Bulk Tool'!E$5,'IDF Distributions'!$A$1:$AB$1,0))*INDEX($N$5:$N$11,MATCH(E$6,$L$5:$L$11,0))*IF($E$2="Depth (mm)",(1),IF($E$2="Intensity (mm/hr)",12,0))</f>
        <v>0.45564286803298193</v>
      </c>
      <c r="F287" s="24">
        <f>INDEX('IDF Distributions'!$A$1:$AB$290,MATCH('Bulk Tool'!$A287,'IDF Distributions'!$A$1:$A$290,0),MATCH('Bulk Tool'!F$5,'IDF Distributions'!$A$1:$AB$1,0))*INDEX($N$5:$N$11,MATCH(F$6,$L$5:$L$11,0))*IF($E$2="Depth (mm)",(1),IF($E$2="Intensity (mm/hr)",12,0))</f>
        <v>0.51746329724822038</v>
      </c>
      <c r="G287" s="24">
        <f>INDEX('IDF Distributions'!$A$1:$AB$290,MATCH('Bulk Tool'!$A287,'IDF Distributions'!$A$1:$A$290,0),MATCH('Bulk Tool'!G$5,'IDF Distributions'!$A$1:$AB$1,0))*INDEX($N$5:$N$11,MATCH(G$6,$L$5:$L$11,0))*IF($E$2="Depth (mm)",(1),IF($E$2="Intensity (mm/hr)",12,0))</f>
        <v>0.58282930623568141</v>
      </c>
      <c r="H287" s="24">
        <f>INDEX('IDF Distributions'!$A$1:$AB$290,MATCH('Bulk Tool'!$A287,'IDF Distributions'!$A$1:$A$290,0),MATCH('Bulk Tool'!H$5,'IDF Distributions'!$A$1:$AB$1,0))*INDEX($N$5:$N$11,MATCH(H$6,$L$5:$L$11,0))*IF($E$2="Depth (mm)",(1),IF($E$2="Intensity (mm/hr)",12,0))</f>
        <v>0.65273404245900901</v>
      </c>
      <c r="I287" s="12" t="str">
        <f>IF(COUNTIF($H$7:H287,$H$7)&gt;1,"Do Not Copy","Copy")</f>
        <v>Copy</v>
      </c>
      <c r="L287"/>
      <c r="M287" s="2"/>
    </row>
    <row r="288" spans="1:13" x14ac:dyDescent="0.25">
      <c r="A288" s="128">
        <f t="shared" si="7"/>
        <v>0.97569444444444153</v>
      </c>
      <c r="B288" s="24">
        <f>INDEX('IDF Distributions'!$A$1:$AB$290,MATCH('Bulk Tool'!$A288,'IDF Distributions'!$A$1:$A$290,0),MATCH('Bulk Tool'!B$5,'IDF Distributions'!$A$1:$AB$1,0))*INDEX($N$5:$N$11,MATCH(B$6,$L$5:$L$11,0))*IF($E$2="Depth (mm)",(1),IF($E$2="Intensity (mm/hr)",12,0))</f>
        <v>0.24029423266545974</v>
      </c>
      <c r="C288" s="24">
        <f>INDEX('IDF Distributions'!$A$1:$AB$290,MATCH('Bulk Tool'!$A288,'IDF Distributions'!$A$1:$A$290,0),MATCH('Bulk Tool'!C$5,'IDF Distributions'!$A$1:$AB$1,0))*INDEX($N$5:$N$11,MATCH(C$6,$L$5:$L$11,0))*IF($E$2="Depth (mm)",(1),IF($E$2="Intensity (mm/hr)",12,0))</f>
        <v>0.3204238327835669</v>
      </c>
      <c r="D288" s="24">
        <f>INDEX('IDF Distributions'!$A$1:$AB$290,MATCH('Bulk Tool'!$A288,'IDF Distributions'!$A$1:$A$290,0),MATCH('Bulk Tool'!D$5,'IDF Distributions'!$A$1:$AB$1,0))*INDEX($N$5:$N$11,MATCH(D$6,$L$5:$L$11,0))*IF($E$2="Depth (mm)",(1),IF($E$2="Intensity (mm/hr)",12,0))</f>
        <v>0.37731742899660714</v>
      </c>
      <c r="E288" s="24">
        <f>INDEX('IDF Distributions'!$A$1:$AB$290,MATCH('Bulk Tool'!$A288,'IDF Distributions'!$A$1:$A$290,0),MATCH('Bulk Tool'!E$5,'IDF Distributions'!$A$1:$AB$1,0))*INDEX($N$5:$N$11,MATCH(E$6,$L$5:$L$11,0))*IF($E$2="Depth (mm)",(1),IF($E$2="Intensity (mm/hr)",12,0))</f>
        <v>0.45564286803301324</v>
      </c>
      <c r="F288" s="24">
        <f>INDEX('IDF Distributions'!$A$1:$AB$290,MATCH('Bulk Tool'!$A288,'IDF Distributions'!$A$1:$A$290,0),MATCH('Bulk Tool'!F$5,'IDF Distributions'!$A$1:$AB$1,0))*INDEX($N$5:$N$11,MATCH(F$6,$L$5:$L$11,0))*IF($E$2="Depth (mm)",(1),IF($E$2="Intensity (mm/hr)",12,0))</f>
        <v>0.51746329724825602</v>
      </c>
      <c r="G288" s="24">
        <f>INDEX('IDF Distributions'!$A$1:$AB$290,MATCH('Bulk Tool'!$A288,'IDF Distributions'!$A$1:$A$290,0),MATCH('Bulk Tool'!G$5,'IDF Distributions'!$A$1:$AB$1,0))*INDEX($N$5:$N$11,MATCH(G$6,$L$5:$L$11,0))*IF($E$2="Depth (mm)",(1),IF($E$2="Intensity (mm/hr)",12,0))</f>
        <v>0.58282930623572149</v>
      </c>
      <c r="H288" s="24">
        <f>INDEX('IDF Distributions'!$A$1:$AB$290,MATCH('Bulk Tool'!$A288,'IDF Distributions'!$A$1:$A$290,0),MATCH('Bulk Tool'!H$5,'IDF Distributions'!$A$1:$AB$1,0))*INDEX($N$5:$N$11,MATCH(H$6,$L$5:$L$11,0))*IF($E$2="Depth (mm)",(1),IF($E$2="Intensity (mm/hr)",12,0))</f>
        <v>0.65273404245905386</v>
      </c>
      <c r="I288" s="12" t="str">
        <f>IF(COUNTIF($H$7:H288,$H$7)&gt;1,"Do Not Copy","Copy")</f>
        <v>Copy</v>
      </c>
      <c r="L288"/>
      <c r="M288" s="2"/>
    </row>
    <row r="289" spans="1:13" x14ac:dyDescent="0.25">
      <c r="A289" s="128">
        <f t="shared" si="7"/>
        <v>0.97916666666666374</v>
      </c>
      <c r="B289" s="24">
        <f>INDEX('IDF Distributions'!$A$1:$AB$290,MATCH('Bulk Tool'!$A289,'IDF Distributions'!$A$1:$A$290,0),MATCH('Bulk Tool'!B$5,'IDF Distributions'!$A$1:$AB$1,0))*INDEX($N$5:$N$11,MATCH(B$6,$L$5:$L$11,0))*IF($E$2="Depth (mm)",(1),IF($E$2="Intensity (mm/hr)",12,0))</f>
        <v>0.24772601305715747</v>
      </c>
      <c r="C289" s="24">
        <f>INDEX('IDF Distributions'!$A$1:$AB$290,MATCH('Bulk Tool'!$A289,'IDF Distributions'!$A$1:$A$290,0),MATCH('Bulk Tool'!C$5,'IDF Distributions'!$A$1:$AB$1,0))*INDEX($N$5:$N$11,MATCH(C$6,$L$5:$L$11,0))*IF($E$2="Depth (mm)",(1),IF($E$2="Intensity (mm/hr)",12,0))</f>
        <v>0.33033384823045797</v>
      </c>
      <c r="D289" s="24">
        <f>INDEX('IDF Distributions'!$A$1:$AB$290,MATCH('Bulk Tool'!$A289,'IDF Distributions'!$A$1:$A$290,0),MATCH('Bulk Tool'!D$5,'IDF Distributions'!$A$1:$AB$1,0))*INDEX($N$5:$N$11,MATCH(D$6,$L$5:$L$11,0))*IF($E$2="Depth (mm)",(1),IF($E$2="Intensity (mm/hr)",12,0))</f>
        <v>0.38898704020266028</v>
      </c>
      <c r="E289" s="24">
        <f>INDEX('IDF Distributions'!$A$1:$AB$290,MATCH('Bulk Tool'!$A289,'IDF Distributions'!$A$1:$A$290,0),MATCH('Bulk Tool'!E$5,'IDF Distributions'!$A$1:$AB$1,0))*INDEX($N$5:$N$11,MATCH(E$6,$L$5:$L$11,0))*IF($E$2="Depth (mm)",(1),IF($E$2="Intensity (mm/hr)",12,0))</f>
        <v>0.46973491549791857</v>
      </c>
      <c r="F289" s="24">
        <f>INDEX('IDF Distributions'!$A$1:$AB$290,MATCH('Bulk Tool'!$A289,'IDF Distributions'!$A$1:$A$290,0),MATCH('Bulk Tool'!F$5,'IDF Distributions'!$A$1:$AB$1,0))*INDEX($N$5:$N$11,MATCH(F$6,$L$5:$L$11,0))*IF($E$2="Depth (mm)",(1),IF($E$2="Intensity (mm/hr)",12,0))</f>
        <v>0.53346731675074166</v>
      </c>
      <c r="G289" s="24">
        <f>INDEX('IDF Distributions'!$A$1:$AB$290,MATCH('Bulk Tool'!$A289,'IDF Distributions'!$A$1:$A$290,0),MATCH('Bulk Tool'!G$5,'IDF Distributions'!$A$1:$AB$1,0))*INDEX($N$5:$N$11,MATCH(G$6,$L$5:$L$11,0))*IF($E$2="Depth (mm)",(1),IF($E$2="Intensity (mm/hr)",12,0))</f>
        <v>0.60085495488214447</v>
      </c>
      <c r="H289" s="24">
        <f>INDEX('IDF Distributions'!$A$1:$AB$290,MATCH('Bulk Tool'!$A289,'IDF Distributions'!$A$1:$A$290,0),MATCH('Bulk Tool'!H$5,'IDF Distributions'!$A$1:$AB$1,0))*INDEX($N$5:$N$11,MATCH(H$6,$L$5:$L$11,0))*IF($E$2="Depth (mm)",(1),IF($E$2="Intensity (mm/hr)",12,0))</f>
        <v>0.67292169325670903</v>
      </c>
      <c r="I289" s="12" t="str">
        <f>IF(COUNTIF($H$7:H289,$H$7)&gt;1,"Do Not Copy","Copy")</f>
        <v>Copy</v>
      </c>
      <c r="L289"/>
      <c r="M289" s="2"/>
    </row>
    <row r="290" spans="1:13" x14ac:dyDescent="0.25">
      <c r="A290" s="128">
        <f t="shared" si="7"/>
        <v>0.98263888888888595</v>
      </c>
      <c r="B290" s="24">
        <f>INDEX('IDF Distributions'!$A$1:$AB$290,MATCH('Bulk Tool'!$A290,'IDF Distributions'!$A$1:$A$290,0),MATCH('Bulk Tool'!B$5,'IDF Distributions'!$A$1:$AB$1,0))*INDEX($N$5:$N$11,MATCH(B$6,$L$5:$L$11,0))*IF($E$2="Depth (mm)",(1),IF($E$2="Intensity (mm/hr)",12,0))</f>
        <v>0.24772601305717395</v>
      </c>
      <c r="C290" s="24">
        <f>INDEX('IDF Distributions'!$A$1:$AB$290,MATCH('Bulk Tool'!$A290,'IDF Distributions'!$A$1:$A$290,0),MATCH('Bulk Tool'!C$5,'IDF Distributions'!$A$1:$AB$1,0))*INDEX($N$5:$N$11,MATCH(C$6,$L$5:$L$11,0))*IF($E$2="Depth (mm)",(1),IF($E$2="Intensity (mm/hr)",12,0))</f>
        <v>0.33033384823047995</v>
      </c>
      <c r="D290" s="24">
        <f>INDEX('IDF Distributions'!$A$1:$AB$290,MATCH('Bulk Tool'!$A290,'IDF Distributions'!$A$1:$A$290,0),MATCH('Bulk Tool'!D$5,'IDF Distributions'!$A$1:$AB$1,0))*INDEX($N$5:$N$11,MATCH(D$6,$L$5:$L$11,0))*IF($E$2="Depth (mm)",(1),IF($E$2="Intensity (mm/hr)",12,0))</f>
        <v>0.38898704020268615</v>
      </c>
      <c r="E290" s="24">
        <f>INDEX('IDF Distributions'!$A$1:$AB$290,MATCH('Bulk Tool'!$A290,'IDF Distributions'!$A$1:$A$290,0),MATCH('Bulk Tool'!E$5,'IDF Distributions'!$A$1:$AB$1,0))*INDEX($N$5:$N$11,MATCH(E$6,$L$5:$L$11,0))*IF($E$2="Depth (mm)",(1),IF($E$2="Intensity (mm/hr)",12,0))</f>
        <v>0.46973491549794988</v>
      </c>
      <c r="F290" s="24">
        <f>INDEX('IDF Distributions'!$A$1:$AB$290,MATCH('Bulk Tool'!$A290,'IDF Distributions'!$A$1:$A$290,0),MATCH('Bulk Tool'!F$5,'IDF Distributions'!$A$1:$AB$1,0))*INDEX($N$5:$N$11,MATCH(F$6,$L$5:$L$11,0))*IF($E$2="Depth (mm)",(1),IF($E$2="Intensity (mm/hr)",12,0))</f>
        <v>0.53346731675077719</v>
      </c>
      <c r="G290" s="24">
        <f>INDEX('IDF Distributions'!$A$1:$AB$290,MATCH('Bulk Tool'!$A290,'IDF Distributions'!$A$1:$A$290,0),MATCH('Bulk Tool'!G$5,'IDF Distributions'!$A$1:$AB$1,0))*INDEX($N$5:$N$11,MATCH(G$6,$L$5:$L$11,0))*IF($E$2="Depth (mm)",(1),IF($E$2="Intensity (mm/hr)",12,0))</f>
        <v>0.60085495488218454</v>
      </c>
      <c r="H290" s="24">
        <f>INDEX('IDF Distributions'!$A$1:$AB$290,MATCH('Bulk Tool'!$A290,'IDF Distributions'!$A$1:$A$290,0),MATCH('Bulk Tool'!H$5,'IDF Distributions'!$A$1:$AB$1,0))*INDEX($N$5:$N$11,MATCH(H$6,$L$5:$L$11,0))*IF($E$2="Depth (mm)",(1),IF($E$2="Intensity (mm/hr)",12,0))</f>
        <v>0.67292169325675377</v>
      </c>
      <c r="I290" s="12" t="str">
        <f>IF(COUNTIF($H$7:H290,$H$7)&gt;1,"Do Not Copy","Copy")</f>
        <v>Copy</v>
      </c>
      <c r="L290"/>
      <c r="M290" s="2"/>
    </row>
    <row r="291" spans="1:13" x14ac:dyDescent="0.25">
      <c r="A291" s="128">
        <f t="shared" si="7"/>
        <v>0.98611111111110816</v>
      </c>
      <c r="B291" s="24">
        <f>INDEX('IDF Distributions'!$A$1:$AB$290,MATCH('Bulk Tool'!$A291,'IDF Distributions'!$A$1:$A$290,0),MATCH('Bulk Tool'!B$5,'IDF Distributions'!$A$1:$AB$1,0))*INDEX($N$5:$N$11,MATCH(B$6,$L$5:$L$11,0))*IF($E$2="Depth (mm)",(1),IF($E$2="Intensity (mm/hr)",12,0))</f>
        <v>0.23533971240431695</v>
      </c>
      <c r="C291" s="24">
        <f>INDEX('IDF Distributions'!$A$1:$AB$290,MATCH('Bulk Tool'!$A291,'IDF Distributions'!$A$1:$A$290,0),MATCH('Bulk Tool'!C$5,'IDF Distributions'!$A$1:$AB$1,0))*INDEX($N$5:$N$11,MATCH(C$6,$L$5:$L$11,0))*IF($E$2="Depth (mm)",(1),IF($E$2="Intensity (mm/hr)",12,0))</f>
        <v>0.31381715581895819</v>
      </c>
      <c r="D291" s="24">
        <f>INDEX('IDF Distributions'!$A$1:$AB$290,MATCH('Bulk Tool'!$A291,'IDF Distributions'!$A$1:$A$290,0),MATCH('Bulk Tool'!D$5,'IDF Distributions'!$A$1:$AB$1,0))*INDEX($N$5:$N$11,MATCH(D$6,$L$5:$L$11,0))*IF($E$2="Depth (mm)",(1),IF($E$2="Intensity (mm/hr)",12,0))</f>
        <v>0.36953768819255445</v>
      </c>
      <c r="E291" s="24">
        <f>INDEX('IDF Distributions'!$A$1:$AB$290,MATCH('Bulk Tool'!$A291,'IDF Distributions'!$A$1:$A$290,0),MATCH('Bulk Tool'!E$5,'IDF Distributions'!$A$1:$AB$1,0))*INDEX($N$5:$N$11,MATCH(E$6,$L$5:$L$11,0))*IF($E$2="Depth (mm)",(1),IF($E$2="Intensity (mm/hr)",12,0))</f>
        <v>0.44624816972305548</v>
      </c>
      <c r="F291" s="24">
        <f>INDEX('IDF Distributions'!$A$1:$AB$290,MATCH('Bulk Tool'!$A291,'IDF Distributions'!$A$1:$A$290,0),MATCH('Bulk Tool'!F$5,'IDF Distributions'!$A$1:$AB$1,0))*INDEX($N$5:$N$11,MATCH(F$6,$L$5:$L$11,0))*IF($E$2="Depth (mm)",(1),IF($E$2="Intensity (mm/hr)",12,0))</f>
        <v>0.50679395091324186</v>
      </c>
      <c r="G291" s="24">
        <f>INDEX('IDF Distributions'!$A$1:$AB$290,MATCH('Bulk Tool'!$A291,'IDF Distributions'!$A$1:$A$290,0),MATCH('Bulk Tool'!G$5,'IDF Distributions'!$A$1:$AB$1,0))*INDEX($N$5:$N$11,MATCH(G$6,$L$5:$L$11,0))*IF($E$2="Depth (mm)",(1),IF($E$2="Intensity (mm/hr)",12,0))</f>
        <v>0.57081220713807934</v>
      </c>
      <c r="H291" s="24">
        <f>INDEX('IDF Distributions'!$A$1:$AB$290,MATCH('Bulk Tool'!$A291,'IDF Distributions'!$A$1:$A$290,0),MATCH('Bulk Tool'!H$5,'IDF Distributions'!$A$1:$AB$1,0))*INDEX($N$5:$N$11,MATCH(H$6,$L$5:$L$11,0))*IF($E$2="Depth (mm)",(1),IF($E$2="Intensity (mm/hr)",12,0))</f>
        <v>0.63927560859392052</v>
      </c>
      <c r="I291" s="12" t="str">
        <f>IF(COUNTIF($H$7:H291,$H$7)&gt;1,"Do Not Copy","Copy")</f>
        <v>Copy</v>
      </c>
      <c r="L291"/>
      <c r="M291" s="2"/>
    </row>
    <row r="292" spans="1:13" x14ac:dyDescent="0.25">
      <c r="A292" s="128">
        <f t="shared" si="7"/>
        <v>0.98958333333333037</v>
      </c>
      <c r="B292" s="24">
        <f>INDEX('IDF Distributions'!$A$1:$AB$290,MATCH('Bulk Tool'!$A292,'IDF Distributions'!$A$1:$A$290,0),MATCH('Bulk Tool'!B$5,'IDF Distributions'!$A$1:$AB$1,0))*INDEX($N$5:$N$11,MATCH(B$6,$L$5:$L$11,0))*IF($E$2="Depth (mm)",(1),IF($E$2="Intensity (mm/hr)",12,0))</f>
        <v>0.23533971240430046</v>
      </c>
      <c r="C292" s="24">
        <f>INDEX('IDF Distributions'!$A$1:$AB$290,MATCH('Bulk Tool'!$A292,'IDF Distributions'!$A$1:$A$290,0),MATCH('Bulk Tool'!C$5,'IDF Distributions'!$A$1:$AB$1,0))*INDEX($N$5:$N$11,MATCH(C$6,$L$5:$L$11,0))*IF($E$2="Depth (mm)",(1),IF($E$2="Intensity (mm/hr)",12,0))</f>
        <v>0.31381715581893616</v>
      </c>
      <c r="D292" s="24">
        <f>INDEX('IDF Distributions'!$A$1:$AB$290,MATCH('Bulk Tool'!$A292,'IDF Distributions'!$A$1:$A$290,0),MATCH('Bulk Tool'!D$5,'IDF Distributions'!$A$1:$AB$1,0))*INDEX($N$5:$N$11,MATCH(D$6,$L$5:$L$11,0))*IF($E$2="Depth (mm)",(1),IF($E$2="Intensity (mm/hr)",12,0))</f>
        <v>0.36953768819252852</v>
      </c>
      <c r="E292" s="24">
        <f>INDEX('IDF Distributions'!$A$1:$AB$290,MATCH('Bulk Tool'!$A292,'IDF Distributions'!$A$1:$A$290,0),MATCH('Bulk Tool'!E$5,'IDF Distributions'!$A$1:$AB$1,0))*INDEX($N$5:$N$11,MATCH(E$6,$L$5:$L$11,0))*IF($E$2="Depth (mm)",(1),IF($E$2="Intensity (mm/hr)",12,0))</f>
        <v>0.44624816972302417</v>
      </c>
      <c r="F292" s="24">
        <f>INDEX('IDF Distributions'!$A$1:$AB$290,MATCH('Bulk Tool'!$A292,'IDF Distributions'!$A$1:$A$290,0),MATCH('Bulk Tool'!F$5,'IDF Distributions'!$A$1:$AB$1,0))*INDEX($N$5:$N$11,MATCH(F$6,$L$5:$L$11,0))*IF($E$2="Depth (mm)",(1),IF($E$2="Intensity (mm/hr)",12,0))</f>
        <v>0.50679395091320634</v>
      </c>
      <c r="G292" s="24">
        <f>INDEX('IDF Distributions'!$A$1:$AB$290,MATCH('Bulk Tool'!$A292,'IDF Distributions'!$A$1:$A$290,0),MATCH('Bulk Tool'!G$5,'IDF Distributions'!$A$1:$AB$1,0))*INDEX($N$5:$N$11,MATCH(G$6,$L$5:$L$11,0))*IF($E$2="Depth (mm)",(1),IF($E$2="Intensity (mm/hr)",12,0))</f>
        <v>0.57081220713803926</v>
      </c>
      <c r="H292" s="24">
        <f>INDEX('IDF Distributions'!$A$1:$AB$290,MATCH('Bulk Tool'!$A292,'IDF Distributions'!$A$1:$A$290,0),MATCH('Bulk Tool'!H$5,'IDF Distributions'!$A$1:$AB$1,0))*INDEX($N$5:$N$11,MATCH(H$6,$L$5:$L$11,0))*IF($E$2="Depth (mm)",(1),IF($E$2="Intensity (mm/hr)",12,0))</f>
        <v>0.63927560859387578</v>
      </c>
      <c r="I292" s="12" t="str">
        <f>IF(COUNTIF($H$7:H292,$H$7)&gt;1,"Do Not Copy","Copy")</f>
        <v>Copy</v>
      </c>
      <c r="L292"/>
      <c r="M292" s="2"/>
    </row>
    <row r="293" spans="1:13" x14ac:dyDescent="0.25">
      <c r="A293" s="128">
        <f t="shared" si="7"/>
        <v>0.99305555555555258</v>
      </c>
      <c r="B293" s="24">
        <f>INDEX('IDF Distributions'!$A$1:$AB$290,MATCH('Bulk Tool'!$A293,'IDF Distributions'!$A$1:$A$290,0),MATCH('Bulk Tool'!B$5,'IDF Distributions'!$A$1:$AB$1,0))*INDEX($N$5:$N$11,MATCH(B$6,$L$5:$L$11,0))*IF($E$2="Depth (mm)",(1),IF($E$2="Intensity (mm/hr)",12,0))</f>
        <v>0.23533971240431695</v>
      </c>
      <c r="C293" s="24">
        <f>INDEX('IDF Distributions'!$A$1:$AB$290,MATCH('Bulk Tool'!$A293,'IDF Distributions'!$A$1:$A$290,0),MATCH('Bulk Tool'!C$5,'IDF Distributions'!$A$1:$AB$1,0))*INDEX($N$5:$N$11,MATCH(C$6,$L$5:$L$11,0))*IF($E$2="Depth (mm)",(1),IF($E$2="Intensity (mm/hr)",12,0))</f>
        <v>0.31381715581895819</v>
      </c>
      <c r="D293" s="24">
        <f>INDEX('IDF Distributions'!$A$1:$AB$290,MATCH('Bulk Tool'!$A293,'IDF Distributions'!$A$1:$A$290,0),MATCH('Bulk Tool'!D$5,'IDF Distributions'!$A$1:$AB$1,0))*INDEX($N$5:$N$11,MATCH(D$6,$L$5:$L$11,0))*IF($E$2="Depth (mm)",(1),IF($E$2="Intensity (mm/hr)",12,0))</f>
        <v>0.36953768819255445</v>
      </c>
      <c r="E293" s="24">
        <f>INDEX('IDF Distributions'!$A$1:$AB$290,MATCH('Bulk Tool'!$A293,'IDF Distributions'!$A$1:$A$290,0),MATCH('Bulk Tool'!E$5,'IDF Distributions'!$A$1:$AB$1,0))*INDEX($N$5:$N$11,MATCH(E$6,$L$5:$L$11,0))*IF($E$2="Depth (mm)",(1),IF($E$2="Intensity (mm/hr)",12,0))</f>
        <v>0.44624816972305548</v>
      </c>
      <c r="F293" s="24">
        <f>INDEX('IDF Distributions'!$A$1:$AB$290,MATCH('Bulk Tool'!$A293,'IDF Distributions'!$A$1:$A$290,0),MATCH('Bulk Tool'!F$5,'IDF Distributions'!$A$1:$AB$1,0))*INDEX($N$5:$N$11,MATCH(F$6,$L$5:$L$11,0))*IF($E$2="Depth (mm)",(1),IF($E$2="Intensity (mm/hr)",12,0))</f>
        <v>0.50679395091324186</v>
      </c>
      <c r="G293" s="24">
        <f>INDEX('IDF Distributions'!$A$1:$AB$290,MATCH('Bulk Tool'!$A293,'IDF Distributions'!$A$1:$A$290,0),MATCH('Bulk Tool'!G$5,'IDF Distributions'!$A$1:$AB$1,0))*INDEX($N$5:$N$11,MATCH(G$6,$L$5:$L$11,0))*IF($E$2="Depth (mm)",(1),IF($E$2="Intensity (mm/hr)",12,0))</f>
        <v>0.57081220713807934</v>
      </c>
      <c r="H293" s="24">
        <f>INDEX('IDF Distributions'!$A$1:$AB$290,MATCH('Bulk Tool'!$A293,'IDF Distributions'!$A$1:$A$290,0),MATCH('Bulk Tool'!H$5,'IDF Distributions'!$A$1:$AB$1,0))*INDEX($N$5:$N$11,MATCH(H$6,$L$5:$L$11,0))*IF($E$2="Depth (mm)",(1),IF($E$2="Intensity (mm/hr)",12,0))</f>
        <v>0.63927560859392052</v>
      </c>
      <c r="I293" s="12" t="str">
        <f>IF(COUNTIF($H$7:H293,$H$7)&gt;1,"Do Not Copy","Copy")</f>
        <v>Copy</v>
      </c>
      <c r="L293"/>
      <c r="M293" s="2"/>
    </row>
    <row r="294" spans="1:13" x14ac:dyDescent="0.25">
      <c r="A294" s="128">
        <f t="shared" si="7"/>
        <v>0.99652777777777479</v>
      </c>
      <c r="B294" s="24">
        <f>INDEX('IDF Distributions'!$A$1:$AB$290,MATCH('Bulk Tool'!$A294,'IDF Distributions'!$A$1:$A$290,0),MATCH('Bulk Tool'!B$5,'IDF Distributions'!$A$1:$AB$1,0))*INDEX($N$5:$N$11,MATCH(B$6,$L$5:$L$11,0))*IF($E$2="Depth (mm)",(1),IF($E$2="Intensity (mm/hr)",12,0))</f>
        <v>0.23533971240431695</v>
      </c>
      <c r="C294" s="24">
        <f>INDEX('IDF Distributions'!$A$1:$AB$290,MATCH('Bulk Tool'!$A294,'IDF Distributions'!$A$1:$A$290,0),MATCH('Bulk Tool'!C$5,'IDF Distributions'!$A$1:$AB$1,0))*INDEX($N$5:$N$11,MATCH(C$6,$L$5:$L$11,0))*IF($E$2="Depth (mm)",(1),IF($E$2="Intensity (mm/hr)",12,0))</f>
        <v>0.31381715581895819</v>
      </c>
      <c r="D294" s="24">
        <f>INDEX('IDF Distributions'!$A$1:$AB$290,MATCH('Bulk Tool'!$A294,'IDF Distributions'!$A$1:$A$290,0),MATCH('Bulk Tool'!D$5,'IDF Distributions'!$A$1:$AB$1,0))*INDEX($N$5:$N$11,MATCH(D$6,$L$5:$L$11,0))*IF($E$2="Depth (mm)",(1),IF($E$2="Intensity (mm/hr)",12,0))</f>
        <v>0.36953768819255445</v>
      </c>
      <c r="E294" s="24">
        <f>INDEX('IDF Distributions'!$A$1:$AB$290,MATCH('Bulk Tool'!$A294,'IDF Distributions'!$A$1:$A$290,0),MATCH('Bulk Tool'!E$5,'IDF Distributions'!$A$1:$AB$1,0))*INDEX($N$5:$N$11,MATCH(E$6,$L$5:$L$11,0))*IF($E$2="Depth (mm)",(1),IF($E$2="Intensity (mm/hr)",12,0))</f>
        <v>0.44624816972305548</v>
      </c>
      <c r="F294" s="24">
        <f>INDEX('IDF Distributions'!$A$1:$AB$290,MATCH('Bulk Tool'!$A294,'IDF Distributions'!$A$1:$A$290,0),MATCH('Bulk Tool'!F$5,'IDF Distributions'!$A$1:$AB$1,0))*INDEX($N$5:$N$11,MATCH(F$6,$L$5:$L$11,0))*IF($E$2="Depth (mm)",(1),IF($E$2="Intensity (mm/hr)",12,0))</f>
        <v>0.50679395091324186</v>
      </c>
      <c r="G294" s="24">
        <f>INDEX('IDF Distributions'!$A$1:$AB$290,MATCH('Bulk Tool'!$A294,'IDF Distributions'!$A$1:$A$290,0),MATCH('Bulk Tool'!G$5,'IDF Distributions'!$A$1:$AB$1,0))*INDEX($N$5:$N$11,MATCH(G$6,$L$5:$L$11,0))*IF($E$2="Depth (mm)",(1),IF($E$2="Intensity (mm/hr)",12,0))</f>
        <v>0.57081220713807934</v>
      </c>
      <c r="H294" s="24">
        <f>INDEX('IDF Distributions'!$A$1:$AB$290,MATCH('Bulk Tool'!$A294,'IDF Distributions'!$A$1:$A$290,0),MATCH('Bulk Tool'!H$5,'IDF Distributions'!$A$1:$AB$1,0))*INDEX($N$5:$N$11,MATCH(H$6,$L$5:$L$11,0))*IF($E$2="Depth (mm)",(1),IF($E$2="Intensity (mm/hr)",12,0))</f>
        <v>0.63927560859392052</v>
      </c>
      <c r="I294" s="12" t="str">
        <f>IF(COUNTIF($H$7:H294,$H$7)&gt;1,"Do Not Copy","Copy")</f>
        <v>Copy</v>
      </c>
      <c r="L294"/>
      <c r="M294" s="2"/>
    </row>
    <row r="295" spans="1:13" x14ac:dyDescent="0.25">
      <c r="A295" s="128">
        <f t="shared" si="7"/>
        <v>0.999999999999997</v>
      </c>
      <c r="B295" s="24">
        <f>INDEX('IDF Distributions'!$A$1:$AB$290,MATCH('Bulk Tool'!$A295,'IDF Distributions'!$A$1:$A$290,0),MATCH('Bulk Tool'!B$5,'IDF Distributions'!$A$1:$AB$1,0))*INDEX($N$5:$N$11,MATCH(B$6,$L$5:$L$11,0))*IF($E$2="Depth (mm)",(1),IF($E$2="Intensity (mm/hr)",12,0))</f>
        <v>0.18827176992344363</v>
      </c>
      <c r="C295" s="24">
        <f>INDEX('IDF Distributions'!$A$1:$AB$290,MATCH('Bulk Tool'!$A295,'IDF Distributions'!$A$1:$A$290,0),MATCH('Bulk Tool'!C$5,'IDF Distributions'!$A$1:$AB$1,0))*INDEX($N$5:$N$11,MATCH(C$6,$L$5:$L$11,0))*IF($E$2="Depth (mm)",(1),IF($E$2="Intensity (mm/hr)",12,0))</f>
        <v>0.25105372465515335</v>
      </c>
      <c r="D295" s="24">
        <f>INDEX('IDF Distributions'!$A$1:$AB$290,MATCH('Bulk Tool'!$A295,'IDF Distributions'!$A$1:$A$290,0),MATCH('Bulk Tool'!D$5,'IDF Distributions'!$A$1:$AB$1,0))*INDEX($N$5:$N$11,MATCH(D$6,$L$5:$L$11,0))*IF($E$2="Depth (mm)",(1),IF($E$2="Intensity (mm/hr)",12,0))</f>
        <v>0.29563015055402797</v>
      </c>
      <c r="E295" s="24">
        <f>INDEX('IDF Distributions'!$A$1:$AB$290,MATCH('Bulk Tool'!$A295,'IDF Distributions'!$A$1:$A$290,0),MATCH('Bulk Tool'!E$5,'IDF Distributions'!$A$1:$AB$1,0))*INDEX($N$5:$N$11,MATCH(E$6,$L$5:$L$11,0))*IF($E$2="Depth (mm)",(1),IF($E$2="Intensity (mm/hr)",12,0))</f>
        <v>0.35699853577842561</v>
      </c>
      <c r="F295" s="24">
        <f>INDEX('IDF Distributions'!$A$1:$AB$290,MATCH('Bulk Tool'!$A295,'IDF Distributions'!$A$1:$A$290,0),MATCH('Bulk Tool'!F$5,'IDF Distributions'!$A$1:$AB$1,0))*INDEX($N$5:$N$11,MATCH(F$6,$L$5:$L$11,0))*IF($E$2="Depth (mm)",(1),IF($E$2="Intensity (mm/hr)",12,0))</f>
        <v>0.40543516073057217</v>
      </c>
      <c r="G295" s="24">
        <f>INDEX('IDF Distributions'!$A$1:$AB$290,MATCH('Bulk Tool'!$A295,'IDF Distributions'!$A$1:$A$290,0),MATCH('Bulk Tool'!G$5,'IDF Distributions'!$A$1:$AB$1,0))*INDEX($N$5:$N$11,MATCH(G$6,$L$5:$L$11,0))*IF($E$2="Depth (mm)",(1),IF($E$2="Intensity (mm/hr)",12,0))</f>
        <v>0.45664976571043947</v>
      </c>
      <c r="H295" s="24">
        <f>INDEX('IDF Distributions'!$A$1:$AB$290,MATCH('Bulk Tool'!$A295,'IDF Distributions'!$A$1:$A$290,0),MATCH('Bulk Tool'!H$5,'IDF Distributions'!$A$1:$AB$1,0))*INDEX($N$5:$N$11,MATCH(H$6,$L$5:$L$11,0))*IF($E$2="Depth (mm)",(1),IF($E$2="Intensity (mm/hr)",12,0))</f>
        <v>0.51142048687510955</v>
      </c>
      <c r="I295" s="12" t="str">
        <f>IF(COUNTIF($H$7:H295,$H$7)&gt;1,"Do Not Copy","Copy")</f>
        <v>Copy</v>
      </c>
    </row>
  </sheetData>
  <sheetProtection algorithmName="SHA-512" hashValue="hom1JZq94kF9LFX8Zvcx7RgU263yhXFgwQzBl3bnZtWXj+LPFxSpGLsDkxeoIt6bkVsZO5oqO+sCS2+pwIGv9g==" saltValue="3RFgQWJedNHOVTru6d6chw==" spinCount="100000" sheet="1" objects="1" scenarios="1"/>
  <conditionalFormatting sqref="I7:I295">
    <cfRule type="containsText" dxfId="2" priority="2" operator="containsText" text="Do Not Copy">
      <formula>NOT(ISERROR(SEARCH("Do Not Copy",I7)))</formula>
    </cfRule>
    <cfRule type="containsText" dxfId="1" priority="3" operator="containsText" text="Copy">
      <formula>NOT(ISERROR(SEARCH("Copy",I7)))</formula>
    </cfRule>
  </conditionalFormatting>
  <conditionalFormatting sqref="F2">
    <cfRule type="beginsWith" dxfId="0" priority="1" operator="beginsWith" text="*">
      <formula>LEFT(F2,LEN("*"))="*"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642AAD34-7A08-4C27-BB43-5DE07DCE7F43}">
          <x14:formula1>
            <xm:f>IF($D$2="1-hr",Dropdowns_Lookups!$F$2:$F$5,IF($D$2="2-hr",Dropdowns_Lookups!$F$8:$F$11,IF($D$2="6-hr",Dropdowns_Lookups!$F$14:$F$19,IF($D$2="12-hr",Dropdowns_Lookups!$F$22:$F$27,IF($D$2="24-hr",Dropdowns_Lookups!$F$30:$F$36,Dropdowns_Lookups!$F$43)))))</xm:f>
          </x14:formula1>
          <xm:sqref>F2</xm:sqref>
        </x14:dataValidation>
        <x14:dataValidation type="list" allowBlank="1" showInputMessage="1" showErrorMessage="1" xr:uid="{6B788C15-EAF7-46DB-81F4-3657EB05C545}">
          <x14:formula1>
            <xm:f>IF($A$2="COV (2018)",Dropdowns_Lookups!$B$2:$B$4,IF($A$2="COV (2014)",Dropdowns_Lookups!$B$7,Dropdowns_Lookups!$B$10:$B$12))</xm:f>
          </x14:formula1>
          <xm:sqref>B2</xm:sqref>
        </x14:dataValidation>
        <x14:dataValidation type="list" allowBlank="1" showInputMessage="1" showErrorMessage="1" xr:uid="{6030B80B-451B-4CBD-8E83-88426F0E2779}">
          <x14:formula1>
            <xm:f>Dropdowns_Lookups!$G$2:$G$3</xm:f>
          </x14:formula1>
          <xm:sqref>E2</xm:sqref>
        </x14:dataValidation>
        <x14:dataValidation type="list" allowBlank="1" showInputMessage="1" showErrorMessage="1" xr:uid="{6FEC7C04-7B03-4614-8C1E-4B8C30FEFF98}">
          <x14:formula1>
            <xm:f>Dropdowns_Lookups!$D$2:$D$10</xm:f>
          </x14:formula1>
          <xm:sqref>D2</xm:sqref>
        </x14:dataValidation>
        <x14:dataValidation type="list" allowBlank="1" showInputMessage="1" showErrorMessage="1" xr:uid="{7A8A674F-06C8-4EF4-81E4-256897BFD306}">
          <x14:formula1>
            <xm:f>IF($A$2="COV (2018)",Dropdowns_Lookups!$C$2:$C$6,IF($A$2="COV (2014)",Dropdowns_Lookups!$C$9:$C$11,Dropdowns_Lookups!$C$14:$C$18))</xm:f>
          </x14:formula1>
          <xm:sqref>C2</xm:sqref>
        </x14:dataValidation>
        <x14:dataValidation type="list" allowBlank="1" showInputMessage="1" showErrorMessage="1" xr:uid="{55A6F296-0D9A-41AE-9369-F620DB6E632C}">
          <x14:formula1>
            <xm:f>Dropdowns_Lookups!$A$2:$A$4</xm:f>
          </x14:formula1>
          <xm:sqref>A2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1E345-E642-4E3D-B573-27E16CA6E324}">
  <sheetPr codeName="Sheet6"/>
  <dimension ref="A1:L298"/>
  <sheetViews>
    <sheetView workbookViewId="0">
      <selection activeCell="L2" sqref="L2:L3"/>
    </sheetView>
  </sheetViews>
  <sheetFormatPr defaultColWidth="9.140625" defaultRowHeight="15" x14ac:dyDescent="0.25"/>
  <cols>
    <col min="1" max="1" width="37.5703125" style="6" bestFit="1" customWidth="1"/>
    <col min="2" max="2" width="7.85546875" style="6" bestFit="1" customWidth="1"/>
    <col min="3" max="4" width="6.140625" style="6" bestFit="1" customWidth="1"/>
    <col min="5" max="7" width="7.140625" style="6" bestFit="1" customWidth="1"/>
    <col min="8" max="9" width="8.140625" style="6" bestFit="1" customWidth="1"/>
    <col min="10" max="11" width="9.140625" style="6"/>
    <col min="12" max="12" width="15.140625" style="6" bestFit="1" customWidth="1"/>
    <col min="13" max="16384" width="9.140625" style="6"/>
  </cols>
  <sheetData>
    <row r="1" spans="1:12" x14ac:dyDescent="0.25">
      <c r="A1" s="3" t="s">
        <v>0</v>
      </c>
      <c r="B1" s="4" t="s">
        <v>166</v>
      </c>
      <c r="C1" s="4" t="s">
        <v>1</v>
      </c>
      <c r="D1" s="4" t="s">
        <v>2</v>
      </c>
      <c r="E1" s="4" t="s">
        <v>3</v>
      </c>
      <c r="F1" s="4" t="s">
        <v>4</v>
      </c>
      <c r="G1" s="4" t="s">
        <v>5</v>
      </c>
      <c r="H1" s="4" t="s">
        <v>6</v>
      </c>
      <c r="I1" s="5" t="s">
        <v>7</v>
      </c>
      <c r="J1" s="95" t="s">
        <v>28</v>
      </c>
    </row>
    <row r="2" spans="1:12" ht="15.75" thickBot="1" x14ac:dyDescent="0.3">
      <c r="A2" s="7" t="s">
        <v>31</v>
      </c>
      <c r="B2" s="8">
        <v>8.3333333333333329E-2</v>
      </c>
      <c r="C2" s="9">
        <v>35.692373285139951</v>
      </c>
      <c r="D2" s="9">
        <v>52.470813089807145</v>
      </c>
      <c r="E2" s="9">
        <v>65.049606373141174</v>
      </c>
      <c r="F2" s="9">
        <v>83.476943778234912</v>
      </c>
      <c r="G2" s="9">
        <v>98.531751017289253</v>
      </c>
      <c r="H2" s="9">
        <v>115.76433352072233</v>
      </c>
      <c r="I2" s="9">
        <v>134.03683820726141</v>
      </c>
      <c r="J2" s="9">
        <v>162.31599737916144</v>
      </c>
      <c r="L2" s="102" t="s">
        <v>416</v>
      </c>
    </row>
    <row r="3" spans="1:12" ht="15.75" thickBot="1" x14ac:dyDescent="0.3">
      <c r="A3" s="7" t="s">
        <v>32</v>
      </c>
      <c r="B3" s="8">
        <v>0.16666666666666666</v>
      </c>
      <c r="C3" s="9">
        <v>25.594678838829111</v>
      </c>
      <c r="D3" s="9">
        <v>36.818893784496261</v>
      </c>
      <c r="E3" s="9">
        <v>45.133597836549804</v>
      </c>
      <c r="F3" s="9">
        <v>57.143729094767259</v>
      </c>
      <c r="G3" s="9">
        <v>66.873573646057295</v>
      </c>
      <c r="H3" s="9">
        <v>77.871195192754953</v>
      </c>
      <c r="I3" s="9">
        <v>89.475918961579538</v>
      </c>
      <c r="J3" s="9">
        <v>107.16287520078782</v>
      </c>
      <c r="L3" s="2" t="s">
        <v>417</v>
      </c>
    </row>
    <row r="4" spans="1:12" ht="15.75" thickBot="1" x14ac:dyDescent="0.3">
      <c r="A4" s="7" t="s">
        <v>33</v>
      </c>
      <c r="B4" s="8">
        <v>0.25</v>
      </c>
      <c r="C4" s="9">
        <v>21.070073045837905</v>
      </c>
      <c r="D4" s="9">
        <v>29.927881548406223</v>
      </c>
      <c r="E4" s="9">
        <v>36.445192419610187</v>
      </c>
      <c r="F4" s="9">
        <v>45.780964984382749</v>
      </c>
      <c r="G4" s="9">
        <v>53.308034208831259</v>
      </c>
      <c r="H4" s="9">
        <v>61.751499160363387</v>
      </c>
      <c r="I4" s="9">
        <v>70.637401560659697</v>
      </c>
      <c r="J4" s="9">
        <v>84.055414307196472</v>
      </c>
    </row>
    <row r="5" spans="1:12" ht="15.75" thickBot="1" x14ac:dyDescent="0.3">
      <c r="A5" s="7" t="s">
        <v>34</v>
      </c>
      <c r="B5" s="8">
        <v>0.5</v>
      </c>
      <c r="C5" s="9">
        <v>15.109159270824223</v>
      </c>
      <c r="D5" s="9">
        <v>21.000465345176995</v>
      </c>
      <c r="E5" s="9">
        <v>25.286896408054762</v>
      </c>
      <c r="F5" s="9">
        <v>31.339133206823192</v>
      </c>
      <c r="G5" s="9">
        <v>36.180202978076487</v>
      </c>
      <c r="H5" s="9">
        <v>41.538381454086895</v>
      </c>
      <c r="I5" s="9">
        <v>47.153801165653995</v>
      </c>
      <c r="J5" s="9">
        <v>55.49434448110064</v>
      </c>
    </row>
    <row r="6" spans="1:12" ht="15.75" thickBot="1" x14ac:dyDescent="0.3">
      <c r="A6" s="7" t="s">
        <v>35</v>
      </c>
      <c r="B6" s="8">
        <v>1</v>
      </c>
      <c r="C6" s="9">
        <v>10.834641786694156</v>
      </c>
      <c r="D6" s="9">
        <v>14.736076257207248</v>
      </c>
      <c r="E6" s="9">
        <v>17.544896528180601</v>
      </c>
      <c r="F6" s="9">
        <v>21.453048674051445</v>
      </c>
      <c r="G6" s="9">
        <v>24.555531018211109</v>
      </c>
      <c r="H6" s="9">
        <v>27.941623398395834</v>
      </c>
      <c r="I6" s="9">
        <v>31.477388964550507</v>
      </c>
      <c r="J6" s="9">
        <v>36.637999999999998</v>
      </c>
    </row>
    <row r="7" spans="1:12" ht="15.75" thickBot="1" x14ac:dyDescent="0.3">
      <c r="A7" s="7" t="s">
        <v>36</v>
      </c>
      <c r="B7" s="8">
        <v>2</v>
      </c>
      <c r="C7" s="9">
        <v>7.7694238667970161</v>
      </c>
      <c r="D7" s="9">
        <v>10.340339601479293</v>
      </c>
      <c r="E7" s="9">
        <v>12.173237443504975</v>
      </c>
      <c r="F7" s="9">
        <v>14.685578390885999</v>
      </c>
      <c r="G7" s="9">
        <v>16.665857401399933</v>
      </c>
      <c r="H7" s="9">
        <v>18.79549204392427</v>
      </c>
      <c r="I7" s="9">
        <v>21.012643552208605</v>
      </c>
      <c r="J7" s="9">
        <v>24.188826024553784</v>
      </c>
    </row>
    <row r="8" spans="1:12" ht="15.75" thickBot="1" x14ac:dyDescent="0.3">
      <c r="A8" s="7" t="s">
        <v>37</v>
      </c>
      <c r="B8" s="8">
        <v>6</v>
      </c>
      <c r="C8" s="9">
        <v>4.5864792203561553</v>
      </c>
      <c r="D8" s="9">
        <v>5.8978399712178673</v>
      </c>
      <c r="E8" s="9">
        <v>6.8202715701801218</v>
      </c>
      <c r="F8" s="9">
        <v>8.0539598080476829</v>
      </c>
      <c r="G8" s="9">
        <v>9.0166275063704138</v>
      </c>
      <c r="H8" s="9">
        <v>10.025970658408745</v>
      </c>
      <c r="I8" s="9">
        <v>11.073661243435355</v>
      </c>
      <c r="J8" s="9">
        <v>12.526194743141154</v>
      </c>
    </row>
    <row r="9" spans="1:12" ht="15.75" thickBot="1" x14ac:dyDescent="0.3">
      <c r="A9" s="7" t="s">
        <v>38</v>
      </c>
      <c r="B9" s="8">
        <v>12</v>
      </c>
      <c r="C9" s="9">
        <v>3.2889228661870096</v>
      </c>
      <c r="D9" s="9">
        <v>4.138528272595237</v>
      </c>
      <c r="E9" s="9">
        <v>4.7321330803880644</v>
      </c>
      <c r="F9" s="9">
        <v>5.5132983621666547</v>
      </c>
      <c r="G9" s="9">
        <v>6.1195918814081036</v>
      </c>
      <c r="H9" s="9">
        <v>6.7441697662261975</v>
      </c>
      <c r="I9" s="9">
        <v>7.3921917980002627</v>
      </c>
      <c r="J9" s="9">
        <v>8.2699368249227998</v>
      </c>
    </row>
    <row r="10" spans="1:12" ht="15.75" thickBot="1" x14ac:dyDescent="0.3">
      <c r="A10" s="10" t="s">
        <v>39</v>
      </c>
      <c r="B10" s="11">
        <v>24</v>
      </c>
      <c r="C10" s="9">
        <v>2.3584569121601295</v>
      </c>
      <c r="D10" s="9">
        <v>2.9040150880074522</v>
      </c>
      <c r="E10" s="9">
        <v>3.2833125866147355</v>
      </c>
      <c r="F10" s="9">
        <v>3.7741011322029139</v>
      </c>
      <c r="G10" s="9">
        <v>4.1533716202135755</v>
      </c>
      <c r="H10" s="9">
        <v>4.5366007327711868</v>
      </c>
      <c r="I10" s="9">
        <v>4.9346370976280758</v>
      </c>
      <c r="J10" s="9">
        <v>5.4599067386895666</v>
      </c>
    </row>
    <row r="11" spans="1:12" ht="15.75" thickBot="1" x14ac:dyDescent="0.3">
      <c r="A11" s="7" t="s">
        <v>40</v>
      </c>
      <c r="B11" s="8">
        <v>8.3333333333333329E-2</v>
      </c>
      <c r="C11" s="9">
        <v>40.117678535519296</v>
      </c>
      <c r="D11" s="9">
        <v>61.782759692264172</v>
      </c>
      <c r="E11" s="9">
        <v>78.556458276337224</v>
      </c>
      <c r="F11" s="9">
        <v>102.87914051417619</v>
      </c>
      <c r="G11" s="9">
        <v>122.89698582581666</v>
      </c>
      <c r="H11" s="9">
        <v>145.45474849182284</v>
      </c>
      <c r="I11" s="9">
        <v>169.01403916576086</v>
      </c>
      <c r="J11" s="9">
        <v>208.33427873083551</v>
      </c>
    </row>
    <row r="12" spans="1:12" ht="15.75" thickBot="1" x14ac:dyDescent="0.3">
      <c r="A12" s="7" t="s">
        <v>41</v>
      </c>
      <c r="B12" s="8">
        <v>0.16666666666666666</v>
      </c>
      <c r="C12" s="9">
        <v>28.830476132685277</v>
      </c>
      <c r="D12" s="9">
        <v>43.403764008079804</v>
      </c>
      <c r="E12" s="9">
        <v>54.565473663280152</v>
      </c>
      <c r="F12" s="9">
        <v>70.505651133129604</v>
      </c>
      <c r="G12" s="9">
        <v>83.49690294293751</v>
      </c>
      <c r="H12" s="9">
        <v>97.968320167321579</v>
      </c>
      <c r="I12" s="9">
        <v>113.0423095761944</v>
      </c>
      <c r="J12" s="9">
        <v>137.92655406136143</v>
      </c>
    </row>
    <row r="13" spans="1:12" ht="15.75" thickBot="1" x14ac:dyDescent="0.3">
      <c r="A13" s="7" t="s">
        <v>42</v>
      </c>
      <c r="B13" s="8">
        <v>0.25</v>
      </c>
      <c r="C13" s="9">
        <v>23.763973940918131</v>
      </c>
      <c r="D13" s="9">
        <v>35.304437503924241</v>
      </c>
      <c r="E13" s="9">
        <v>44.089933569158397</v>
      </c>
      <c r="F13" s="9">
        <v>56.523571152650383</v>
      </c>
      <c r="G13" s="9">
        <v>66.599689785728742</v>
      </c>
      <c r="H13" s="9">
        <v>77.746596504273541</v>
      </c>
      <c r="I13" s="9">
        <v>89.342632228602724</v>
      </c>
      <c r="J13" s="9">
        <v>108.36114537034156</v>
      </c>
    </row>
    <row r="14" spans="1:12" ht="15.75" thickBot="1" x14ac:dyDescent="0.3">
      <c r="A14" s="7" t="s">
        <v>43</v>
      </c>
      <c r="B14" s="8">
        <v>0.5</v>
      </c>
      <c r="C14" s="9">
        <v>17.077924459532202</v>
      </c>
      <c r="D14" s="9">
        <v>24.802153246161893</v>
      </c>
      <c r="E14" s="9">
        <v>30.624956391502131</v>
      </c>
      <c r="F14" s="9">
        <v>38.737018685904097</v>
      </c>
      <c r="G14" s="9">
        <v>45.248203580437867</v>
      </c>
      <c r="H14" s="9">
        <v>52.364763180477603</v>
      </c>
      <c r="I14" s="9">
        <v>59.755376184061781</v>
      </c>
      <c r="J14" s="9">
        <v>71.739895451306381</v>
      </c>
    </row>
    <row r="15" spans="1:12" ht="15.75" thickBot="1" x14ac:dyDescent="0.3">
      <c r="A15" s="7" t="s">
        <v>44</v>
      </c>
      <c r="B15" s="8">
        <v>1</v>
      </c>
      <c r="C15" s="9">
        <v>12.273010590341523</v>
      </c>
      <c r="D15" s="9">
        <v>17.424064767431084</v>
      </c>
      <c r="E15" s="9">
        <v>21.272156205684883</v>
      </c>
      <c r="F15" s="9">
        <v>26.547448897374245</v>
      </c>
      <c r="G15" s="9">
        <v>30.741883841258907</v>
      </c>
      <c r="H15" s="9">
        <v>35.269304975900504</v>
      </c>
      <c r="I15" s="9">
        <v>39.966417977951508</v>
      </c>
      <c r="J15" s="9">
        <v>47.494999999999997</v>
      </c>
    </row>
    <row r="16" spans="1:12" ht="15.75" thickBot="1" x14ac:dyDescent="0.3">
      <c r="A16" s="7" t="s">
        <v>45</v>
      </c>
      <c r="B16" s="8">
        <v>2</v>
      </c>
      <c r="C16" s="9">
        <v>8.8199704424012388</v>
      </c>
      <c r="D16" s="9">
        <v>12.240793370092359</v>
      </c>
      <c r="E16" s="9">
        <v>14.775682415816263</v>
      </c>
      <c r="F16" s="9">
        <v>18.193631489125224</v>
      </c>
      <c r="G16" s="9">
        <v>20.886208674106005</v>
      </c>
      <c r="H16" s="9">
        <v>23.754979454329586</v>
      </c>
      <c r="I16" s="9">
        <v>26.730892983891355</v>
      </c>
      <c r="J16" s="9">
        <v>31.443801399614692</v>
      </c>
    </row>
    <row r="17" spans="1:10" ht="15.75" thickBot="1" x14ac:dyDescent="0.3">
      <c r="A17" s="7" t="s">
        <v>46</v>
      </c>
      <c r="B17" s="8">
        <v>6</v>
      </c>
      <c r="C17" s="9">
        <v>5.2245682054438465</v>
      </c>
      <c r="D17" s="9">
        <v>6.9947397410767662</v>
      </c>
      <c r="E17" s="9">
        <v>8.2928745827706631</v>
      </c>
      <c r="F17" s="9">
        <v>9.9958943947336589</v>
      </c>
      <c r="G17" s="9">
        <v>11.31854462620392</v>
      </c>
      <c r="H17" s="9">
        <v>12.697205294104903</v>
      </c>
      <c r="I17" s="9">
        <v>14.130236474969404</v>
      </c>
      <c r="J17" s="9">
        <v>16.354900188374451</v>
      </c>
    </row>
    <row r="18" spans="1:10" ht="15.75" thickBot="1" x14ac:dyDescent="0.3">
      <c r="A18" s="7" t="s">
        <v>47</v>
      </c>
      <c r="B18" s="8">
        <v>12</v>
      </c>
      <c r="C18" s="9">
        <v>3.7546237581338002</v>
      </c>
      <c r="D18" s="9">
        <v>4.9139603755454582</v>
      </c>
      <c r="E18" s="9">
        <v>5.7602473376191057</v>
      </c>
      <c r="F18" s="9">
        <v>6.8504367302872629</v>
      </c>
      <c r="G18" s="9">
        <v>7.6898828377199182</v>
      </c>
      <c r="H18" s="9">
        <v>8.5519646926687365</v>
      </c>
      <c r="I18" s="9">
        <v>9.4507803841180067</v>
      </c>
      <c r="J18" s="9">
        <v>10.827670985025101</v>
      </c>
    </row>
    <row r="19" spans="1:10" ht="15.75" thickBot="1" x14ac:dyDescent="0.3">
      <c r="A19" s="10" t="s">
        <v>48</v>
      </c>
      <c r="B19" s="11">
        <v>24</v>
      </c>
      <c r="C19" s="9">
        <v>2.6982516087078561</v>
      </c>
      <c r="D19" s="9">
        <v>3.4521665517627507</v>
      </c>
      <c r="E19" s="9">
        <v>4.0010793675191891</v>
      </c>
      <c r="F19" s="9">
        <v>4.6947758292037518</v>
      </c>
      <c r="G19" s="9">
        <v>5.2245496228336332</v>
      </c>
      <c r="H19" s="9">
        <v>5.7600155633152212</v>
      </c>
      <c r="I19" s="9">
        <v>6.3210017770791112</v>
      </c>
      <c r="J19" s="9">
        <v>7.1683995383408723</v>
      </c>
    </row>
    <row r="20" spans="1:10" ht="15.75" thickBot="1" x14ac:dyDescent="0.3">
      <c r="A20" s="7" t="s">
        <v>49</v>
      </c>
      <c r="B20" s="8">
        <v>8.3333333333333329E-2</v>
      </c>
      <c r="C20" s="9">
        <v>46.172875642058116</v>
      </c>
      <c r="D20" s="9">
        <v>75.39434478730351</v>
      </c>
      <c r="E20" s="9">
        <v>97.233548802605441</v>
      </c>
      <c r="F20" s="9">
        <v>128.98765104770058</v>
      </c>
      <c r="G20" s="9">
        <v>154.91316223434714</v>
      </c>
      <c r="H20" s="9">
        <v>184.27871896853654</v>
      </c>
      <c r="I20" s="9">
        <v>215.71065331847893</v>
      </c>
      <c r="J20" s="9">
        <v>268.95058355832083</v>
      </c>
    </row>
    <row r="21" spans="1:10" ht="15.75" thickBot="1" x14ac:dyDescent="0.3">
      <c r="A21" s="7" t="s">
        <v>50</v>
      </c>
      <c r="B21" s="8">
        <v>0.16666666666666666</v>
      </c>
      <c r="C21" s="9">
        <v>33.246153595419791</v>
      </c>
      <c r="D21" s="9">
        <v>52.951668381457097</v>
      </c>
      <c r="E21" s="9">
        <v>67.495242092932813</v>
      </c>
      <c r="F21" s="9">
        <v>88.35463058797005</v>
      </c>
      <c r="G21" s="9">
        <v>105.21979911820902</v>
      </c>
      <c r="H21" s="9">
        <v>124.11409429638033</v>
      </c>
      <c r="I21" s="9">
        <v>144.21855198155205</v>
      </c>
      <c r="J21" s="9">
        <v>178.05724256697158</v>
      </c>
    </row>
    <row r="22" spans="1:10" ht="15.75" thickBot="1" x14ac:dyDescent="0.3">
      <c r="A22" s="7" t="s">
        <v>51</v>
      </c>
      <c r="B22" s="8">
        <v>0.25</v>
      </c>
      <c r="C22" s="9">
        <v>27.434631367762488</v>
      </c>
      <c r="D22" s="9">
        <v>43.063747051286256</v>
      </c>
      <c r="E22" s="9">
        <v>54.516938959261395</v>
      </c>
      <c r="F22" s="9">
        <v>70.81234366213063</v>
      </c>
      <c r="G22" s="9">
        <v>83.912975285952513</v>
      </c>
      <c r="H22" s="9">
        <v>98.494028595629416</v>
      </c>
      <c r="I22" s="9">
        <v>113.95677927122136</v>
      </c>
      <c r="J22" s="9">
        <v>139.88957294951305</v>
      </c>
    </row>
    <row r="23" spans="1:10" ht="15.75" thickBot="1" x14ac:dyDescent="0.3">
      <c r="A23" s="7" t="s">
        <v>52</v>
      </c>
      <c r="B23" s="8">
        <v>0.5</v>
      </c>
      <c r="C23" s="9">
        <v>19.75393465542658</v>
      </c>
      <c r="D23" s="9">
        <v>30.244937595195672</v>
      </c>
      <c r="E23" s="9">
        <v>37.843255116513753</v>
      </c>
      <c r="F23" s="9">
        <v>48.505406637897458</v>
      </c>
      <c r="G23" s="9">
        <v>56.995198314023845</v>
      </c>
      <c r="H23" s="9">
        <v>66.336998765633524</v>
      </c>
      <c r="I23" s="9">
        <v>76.188549068610186</v>
      </c>
      <c r="J23" s="9">
        <v>92.613116111199076</v>
      </c>
    </row>
    <row r="24" spans="1:10" ht="15.75" thickBot="1" x14ac:dyDescent="0.3">
      <c r="A24" s="7" t="s">
        <v>53</v>
      </c>
      <c r="B24" s="8">
        <v>1</v>
      </c>
      <c r="C24" s="9">
        <v>14.223553039221631</v>
      </c>
      <c r="D24" s="9">
        <v>21.241910255692858</v>
      </c>
      <c r="E24" s="9">
        <v>26.26911901425191</v>
      </c>
      <c r="F24" s="9">
        <v>33.225485154589151</v>
      </c>
      <c r="G24" s="9">
        <v>38.712161257362958</v>
      </c>
      <c r="H24" s="9">
        <v>44.678824371155187</v>
      </c>
      <c r="I24" s="9">
        <v>50.937689238870405</v>
      </c>
      <c r="J24" s="9">
        <v>61.314</v>
      </c>
    </row>
    <row r="25" spans="1:10" ht="15.75" thickBot="1" x14ac:dyDescent="0.3">
      <c r="A25" s="7" t="s">
        <v>54</v>
      </c>
      <c r="B25" s="8">
        <v>2</v>
      </c>
      <c r="C25" s="9">
        <v>10.24147667735525</v>
      </c>
      <c r="D25" s="9">
        <v>14.918819054947704</v>
      </c>
      <c r="E25" s="9">
        <v>18.234864090319896</v>
      </c>
      <c r="F25" s="9">
        <v>22.758965242759501</v>
      </c>
      <c r="G25" s="9">
        <v>26.293994468781953</v>
      </c>
      <c r="H25" s="9">
        <v>30.091764540645432</v>
      </c>
      <c r="I25" s="9">
        <v>34.055618812994737</v>
      </c>
      <c r="J25" s="9">
        <v>40.592593725991691</v>
      </c>
    </row>
    <row r="26" spans="1:10" ht="15.75" thickBot="1" x14ac:dyDescent="0.3">
      <c r="A26" s="7" t="s">
        <v>55</v>
      </c>
      <c r="B26" s="8">
        <v>6</v>
      </c>
      <c r="C26" s="9">
        <v>6.0851990134408327</v>
      </c>
      <c r="D26" s="9">
        <v>8.5213320959103083</v>
      </c>
      <c r="E26" s="9">
        <v>10.223929752482297</v>
      </c>
      <c r="F26" s="9">
        <v>12.494340776612678</v>
      </c>
      <c r="G26" s="9">
        <v>14.242865333096086</v>
      </c>
      <c r="H26" s="9">
        <v>16.083566967194535</v>
      </c>
      <c r="I26" s="9">
        <v>17.991084706824903</v>
      </c>
      <c r="J26" s="9">
        <v>21.113471947573245</v>
      </c>
    </row>
    <row r="27" spans="1:10" ht="15.75" thickBot="1" x14ac:dyDescent="0.3">
      <c r="A27" s="7" t="s">
        <v>56</v>
      </c>
      <c r="B27" s="8">
        <v>12</v>
      </c>
      <c r="C27" s="9">
        <v>4.3815651125543189</v>
      </c>
      <c r="D27" s="9">
        <v>5.9847824473287972</v>
      </c>
      <c r="E27" s="9">
        <v>7.0970012128821987</v>
      </c>
      <c r="F27" s="9">
        <v>8.5584383837611071</v>
      </c>
      <c r="G27" s="9">
        <v>9.6740096683908448</v>
      </c>
      <c r="H27" s="9">
        <v>10.83248981956163</v>
      </c>
      <c r="I27" s="9">
        <v>12.028372938841136</v>
      </c>
      <c r="J27" s="9">
        <v>13.978057032863019</v>
      </c>
    </row>
    <row r="28" spans="1:10" ht="15.75" thickBot="1" x14ac:dyDescent="0.3">
      <c r="A28" s="10" t="s">
        <v>57</v>
      </c>
      <c r="B28" s="11">
        <v>24</v>
      </c>
      <c r="C28" s="9">
        <v>3.1548866015965689</v>
      </c>
      <c r="D28" s="9">
        <v>4.2032889387147607</v>
      </c>
      <c r="E28" s="9">
        <v>4.9264253017214372</v>
      </c>
      <c r="F28" s="9">
        <v>5.8624035375873014</v>
      </c>
      <c r="G28" s="9">
        <v>6.5707609301516792</v>
      </c>
      <c r="H28" s="9">
        <v>7.2958216252805856</v>
      </c>
      <c r="I28" s="9">
        <v>8.0418583933941896</v>
      </c>
      <c r="J28" s="9">
        <v>9.2540951530441582</v>
      </c>
    </row>
    <row r="29" spans="1:10" ht="15.75" thickBot="1" x14ac:dyDescent="0.3">
      <c r="A29" s="7" t="s">
        <v>58</v>
      </c>
      <c r="B29" s="8">
        <v>8.3333333333333329E-2</v>
      </c>
      <c r="C29" s="9">
        <v>46.644523842591489</v>
      </c>
      <c r="D29" s="9">
        <v>74.200629376040141</v>
      </c>
      <c r="E29" s="9">
        <v>94.143647987663599</v>
      </c>
      <c r="F29" s="9">
        <v>122.49009833965168</v>
      </c>
      <c r="G29" s="9">
        <v>145.42292013075098</v>
      </c>
      <c r="H29" s="9">
        <v>171.77543514478995</v>
      </c>
      <c r="I29" s="9">
        <v>199.72430992155097</v>
      </c>
      <c r="J29" s="9">
        <v>244.717992726413</v>
      </c>
    </row>
    <row r="30" spans="1:10" ht="15.75" thickBot="1" x14ac:dyDescent="0.3">
      <c r="A30" s="7" t="s">
        <v>59</v>
      </c>
      <c r="B30" s="8">
        <v>0.16666666666666666</v>
      </c>
      <c r="C30" s="9">
        <v>33.670842137277134</v>
      </c>
      <c r="D30" s="9">
        <v>52.213869092602899</v>
      </c>
      <c r="E30" s="9">
        <v>65.446504191842862</v>
      </c>
      <c r="F30" s="9">
        <v>83.951862816988935</v>
      </c>
      <c r="G30" s="9">
        <v>98.801117363992532</v>
      </c>
      <c r="H30" s="9">
        <v>115.65023721773716</v>
      </c>
      <c r="I30" s="9">
        <v>133.44921640537726</v>
      </c>
      <c r="J30" s="9">
        <v>161.78974642187339</v>
      </c>
    </row>
    <row r="31" spans="1:10" ht="15.75" thickBot="1" x14ac:dyDescent="0.3">
      <c r="A31" s="7" t="s">
        <v>60</v>
      </c>
      <c r="B31" s="8">
        <v>0.25</v>
      </c>
      <c r="C31" s="9">
        <v>27.826236728409857</v>
      </c>
      <c r="D31" s="9">
        <v>42.511643692882579</v>
      </c>
      <c r="E31" s="9">
        <v>52.907617142414111</v>
      </c>
      <c r="F31" s="9">
        <v>67.306213957035027</v>
      </c>
      <c r="G31" s="9">
        <v>78.806785520906061</v>
      </c>
      <c r="H31" s="9">
        <v>91.757478601516738</v>
      </c>
      <c r="I31" s="9">
        <v>105.40965149226164</v>
      </c>
      <c r="J31" s="9">
        <v>127.00608023092592</v>
      </c>
    </row>
    <row r="32" spans="1:10" ht="15.75" thickBot="1" x14ac:dyDescent="0.3">
      <c r="A32" s="7" t="s">
        <v>61</v>
      </c>
      <c r="B32" s="8">
        <v>0.5</v>
      </c>
      <c r="C32" s="9">
        <v>20.086662848539365</v>
      </c>
      <c r="D32" s="9">
        <v>29.914805539483794</v>
      </c>
      <c r="E32" s="9">
        <v>36.780161605222247</v>
      </c>
      <c r="F32" s="9">
        <v>46.130112698446382</v>
      </c>
      <c r="G32" s="9">
        <v>53.541755717251391</v>
      </c>
      <c r="H32" s="9">
        <v>61.777018104027277</v>
      </c>
      <c r="I32" s="9">
        <v>70.431262968095822</v>
      </c>
      <c r="J32" s="9">
        <v>83.967187233224578</v>
      </c>
    </row>
    <row r="33" spans="1:10" ht="15.75" thickBot="1" x14ac:dyDescent="0.3">
      <c r="A33" s="7" t="s">
        <v>62</v>
      </c>
      <c r="B33" s="8">
        <v>1</v>
      </c>
      <c r="C33" s="9">
        <v>14.499769707592378</v>
      </c>
      <c r="D33" s="9">
        <v>21.050599617604441</v>
      </c>
      <c r="E33" s="9">
        <v>25.568724519664485</v>
      </c>
      <c r="F33" s="9">
        <v>31.616505705249839</v>
      </c>
      <c r="G33" s="9">
        <v>36.376558012575344</v>
      </c>
      <c r="H33" s="9">
        <v>41.592249743469182</v>
      </c>
      <c r="I33" s="9">
        <v>47.059853941792319</v>
      </c>
      <c r="J33" s="9">
        <v>55.512999999999998</v>
      </c>
    </row>
    <row r="34" spans="1:10" ht="15.75" thickBot="1" x14ac:dyDescent="0.3">
      <c r="A34" s="7" t="s">
        <v>63</v>
      </c>
      <c r="B34" s="8">
        <v>2</v>
      </c>
      <c r="C34" s="9">
        <v>10.466811891976457</v>
      </c>
      <c r="D34" s="9">
        <v>14.812990967827457</v>
      </c>
      <c r="E34" s="9">
        <v>17.774790676005825</v>
      </c>
      <c r="F34" s="9">
        <v>21.669217232234537</v>
      </c>
      <c r="G34" s="9">
        <v>24.714429983025401</v>
      </c>
      <c r="H34" s="9">
        <v>28.002569431403789</v>
      </c>
      <c r="I34" s="9">
        <v>31.443846946575654</v>
      </c>
      <c r="J34" s="9">
        <v>36.70115994763988</v>
      </c>
    </row>
    <row r="35" spans="1:10" ht="15.75" thickBot="1" x14ac:dyDescent="0.3">
      <c r="A35" s="7" t="s">
        <v>64</v>
      </c>
      <c r="B35" s="8">
        <v>6</v>
      </c>
      <c r="C35" s="9">
        <v>6.2440767212190478</v>
      </c>
      <c r="D35" s="9">
        <v>8.4867823810334304</v>
      </c>
      <c r="E35" s="9">
        <v>9.9892222149273362</v>
      </c>
      <c r="F35" s="9">
        <v>11.906864237059079</v>
      </c>
      <c r="G35" s="9">
        <v>13.393107367068209</v>
      </c>
      <c r="H35" s="9">
        <v>14.958164205631192</v>
      </c>
      <c r="I35" s="9">
        <v>16.595300539611028</v>
      </c>
      <c r="J35" s="9">
        <v>19.047518382063345</v>
      </c>
    </row>
    <row r="36" spans="1:10" ht="15.75" thickBot="1" x14ac:dyDescent="0.3">
      <c r="A36" s="7" t="s">
        <v>65</v>
      </c>
      <c r="B36" s="8">
        <v>12</v>
      </c>
      <c r="C36" s="9">
        <v>4.5073527233916932</v>
      </c>
      <c r="D36" s="9">
        <v>5.9720213694545441</v>
      </c>
      <c r="E36" s="9">
        <v>6.9442781062420611</v>
      </c>
      <c r="F36" s="9">
        <v>8.160687651979055</v>
      </c>
      <c r="G36" s="9">
        <v>9.099349481171954</v>
      </c>
      <c r="H36" s="9">
        <v>10.070795263973352</v>
      </c>
      <c r="I36" s="9">
        <v>11.088434121478269</v>
      </c>
      <c r="J36" s="9">
        <v>12.592834448610549</v>
      </c>
    </row>
    <row r="37" spans="1:10" ht="15.75" thickBot="1" x14ac:dyDescent="0.3">
      <c r="A37" s="10" t="s">
        <v>66</v>
      </c>
      <c r="B37" s="11">
        <v>24</v>
      </c>
      <c r="C37" s="9">
        <v>3.2536801644391273</v>
      </c>
      <c r="D37" s="9">
        <v>4.2024217937916335</v>
      </c>
      <c r="E37" s="9">
        <v>4.8275028204669512</v>
      </c>
      <c r="F37" s="9">
        <v>5.5931454014472273</v>
      </c>
      <c r="G37" s="9">
        <v>6.1821471829676717</v>
      </c>
      <c r="H37" s="9">
        <v>6.7803051132896979</v>
      </c>
      <c r="I37" s="9">
        <v>7.4089270617840439</v>
      </c>
      <c r="J37" s="9">
        <v>8.3254666707366773</v>
      </c>
    </row>
    <row r="38" spans="1:10" ht="15.75" thickBot="1" x14ac:dyDescent="0.3">
      <c r="A38" s="7" t="s">
        <v>67</v>
      </c>
      <c r="B38" s="8">
        <v>8.3333333333333329E-2</v>
      </c>
      <c r="C38" s="9">
        <v>53.886656826106503</v>
      </c>
      <c r="D38" s="9">
        <v>90.794011180139222</v>
      </c>
      <c r="E38" s="9">
        <v>119.272941561404</v>
      </c>
      <c r="F38" s="9">
        <v>160.17056231597084</v>
      </c>
      <c r="G38" s="9">
        <v>193.89004790335605</v>
      </c>
      <c r="H38" s="9">
        <v>232.36330823278996</v>
      </c>
      <c r="I38" s="9">
        <v>272.9238650210998</v>
      </c>
      <c r="J38" s="9">
        <v>345.29224099138753</v>
      </c>
    </row>
    <row r="39" spans="1:10" ht="15.75" thickBot="1" x14ac:dyDescent="0.3">
      <c r="A39" s="7" t="s">
        <v>68</v>
      </c>
      <c r="B39" s="8">
        <v>0.16666666666666666</v>
      </c>
      <c r="C39" s="9">
        <v>38.874510894953218</v>
      </c>
      <c r="D39" s="9">
        <v>63.854511419438047</v>
      </c>
      <c r="E39" s="9">
        <v>82.889366212972035</v>
      </c>
      <c r="F39" s="9">
        <v>109.88930443041063</v>
      </c>
      <c r="G39" s="9">
        <v>131.93029713751798</v>
      </c>
      <c r="H39" s="9">
        <v>156.75510214439038</v>
      </c>
      <c r="I39" s="9">
        <v>182.82224413318716</v>
      </c>
      <c r="J39" s="9">
        <v>229.07466602266331</v>
      </c>
    </row>
    <row r="40" spans="1:10" ht="15.75" thickBot="1" x14ac:dyDescent="0.3">
      <c r="A40" s="7" t="s">
        <v>69</v>
      </c>
      <c r="B40" s="8">
        <v>0.25</v>
      </c>
      <c r="C40" s="9">
        <v>32.11498466543722</v>
      </c>
      <c r="D40" s="9">
        <v>51.9721798559451</v>
      </c>
      <c r="E40" s="9">
        <v>66.996100505043984</v>
      </c>
      <c r="F40" s="9">
        <v>88.153508928117674</v>
      </c>
      <c r="G40" s="9">
        <v>105.32522343397977</v>
      </c>
      <c r="H40" s="9">
        <v>124.51588632198596</v>
      </c>
      <c r="I40" s="9">
        <v>144.62329822682642</v>
      </c>
      <c r="J40" s="9">
        <v>180.19014580487544</v>
      </c>
    </row>
    <row r="41" spans="1:10" ht="15.75" thickBot="1" x14ac:dyDescent="0.3">
      <c r="A41" s="7" t="s">
        <v>70</v>
      </c>
      <c r="B41" s="8">
        <v>0.5</v>
      </c>
      <c r="C41" s="9">
        <v>23.168153208995431</v>
      </c>
      <c r="D41" s="9">
        <v>36.551509388875601</v>
      </c>
      <c r="E41" s="9">
        <v>46.559296994823789</v>
      </c>
      <c r="F41" s="9">
        <v>60.480075983631167</v>
      </c>
      <c r="G41" s="9">
        <v>71.667360826310386</v>
      </c>
      <c r="H41" s="9">
        <v>83.999925063245669</v>
      </c>
      <c r="I41" s="9">
        <v>96.878138281265649</v>
      </c>
      <c r="J41" s="9">
        <v>119.54220967234653</v>
      </c>
    </row>
    <row r="42" spans="1:10" ht="15.75" thickBot="1" x14ac:dyDescent="0.3">
      <c r="A42" s="7" t="s">
        <v>71</v>
      </c>
      <c r="B42" s="8">
        <v>1</v>
      </c>
      <c r="C42" s="9">
        <v>16.713796649984406</v>
      </c>
      <c r="D42" s="9">
        <v>25.706307534303559</v>
      </c>
      <c r="E42" s="9">
        <v>32.356631510053354</v>
      </c>
      <c r="F42" s="9">
        <v>41.493976081751697</v>
      </c>
      <c r="G42" s="9">
        <v>48.765247680941897</v>
      </c>
      <c r="H42" s="9">
        <v>56.66736686421514</v>
      </c>
      <c r="I42" s="9">
        <v>64.895309344446432</v>
      </c>
      <c r="J42" s="9">
        <v>79.307000000000002</v>
      </c>
    </row>
    <row r="43" spans="1:10" ht="15.75" thickBot="1" x14ac:dyDescent="0.3">
      <c r="A43" s="7" t="s">
        <v>72</v>
      </c>
      <c r="B43" s="8">
        <v>2</v>
      </c>
      <c r="C43" s="9">
        <v>12.057542780257823</v>
      </c>
      <c r="D43" s="9">
        <v>18.078986561614052</v>
      </c>
      <c r="E43" s="9">
        <v>22.486413460962954</v>
      </c>
      <c r="F43" s="9">
        <v>28.468053703156237</v>
      </c>
      <c r="G43" s="9">
        <v>33.181762994551121</v>
      </c>
      <c r="H43" s="9">
        <v>38.228492048126967</v>
      </c>
      <c r="I43" s="9">
        <v>43.471120003198898</v>
      </c>
      <c r="J43" s="9">
        <v>52.614053782669558</v>
      </c>
    </row>
    <row r="44" spans="1:10" ht="15.75" thickBot="1" x14ac:dyDescent="0.3">
      <c r="A44" s="7" t="s">
        <v>73</v>
      </c>
      <c r="B44" s="8">
        <v>6</v>
      </c>
      <c r="C44" s="9">
        <v>7.1859681839314398</v>
      </c>
      <c r="D44" s="9">
        <v>10.348747995384903</v>
      </c>
      <c r="E44" s="9">
        <v>12.630710675086952</v>
      </c>
      <c r="F44" s="9">
        <v>15.668040306536938</v>
      </c>
      <c r="G44" s="9">
        <v>18.025043776751609</v>
      </c>
      <c r="H44" s="9">
        <v>20.485396796626461</v>
      </c>
      <c r="I44" s="9">
        <v>23.035496555021851</v>
      </c>
      <c r="J44" s="9">
        <v>27.456550993629932</v>
      </c>
    </row>
    <row r="45" spans="1:10" ht="15.75" thickBot="1" x14ac:dyDescent="0.3">
      <c r="A45" s="7" t="s">
        <v>74</v>
      </c>
      <c r="B45" s="8">
        <v>12</v>
      </c>
      <c r="C45" s="9">
        <v>5.1840476828707729</v>
      </c>
      <c r="D45" s="9">
        <v>7.2781699856514548</v>
      </c>
      <c r="E45" s="9">
        <v>8.7777796788753371</v>
      </c>
      <c r="F45" s="9">
        <v>10.749478719294624</v>
      </c>
      <c r="G45" s="9">
        <v>12.264937819649933</v>
      </c>
      <c r="H45" s="9">
        <v>13.819696800436587</v>
      </c>
      <c r="I45" s="9">
        <v>15.430681280238399</v>
      </c>
      <c r="J45" s="9">
        <v>18.215295631728019</v>
      </c>
    </row>
    <row r="46" spans="1:10" ht="15.75" thickBot="1" x14ac:dyDescent="0.3">
      <c r="A46" s="10" t="s">
        <v>75</v>
      </c>
      <c r="B46" s="11">
        <v>24</v>
      </c>
      <c r="C46" s="9">
        <v>3.7398370950725375</v>
      </c>
      <c r="D46" s="9">
        <v>5.1186634715291968</v>
      </c>
      <c r="E46" s="9">
        <v>6.1001647550086382</v>
      </c>
      <c r="F46" s="9">
        <v>7.3749677991547076</v>
      </c>
      <c r="G46" s="9">
        <v>8.34553866182004</v>
      </c>
      <c r="H46" s="9">
        <v>9.3229348472980789</v>
      </c>
      <c r="I46" s="9">
        <v>10.336478929532408</v>
      </c>
      <c r="J46" s="9">
        <v>12.084438246749514</v>
      </c>
    </row>
    <row r="47" spans="1:10" ht="15.75" thickBot="1" x14ac:dyDescent="0.3">
      <c r="A47" s="7" t="s">
        <v>76</v>
      </c>
      <c r="B47" s="8">
        <v>8.3333333333333329E-2</v>
      </c>
      <c r="C47" s="9">
        <v>36.159660123925434</v>
      </c>
      <c r="D47" s="9">
        <v>53.112194670692311</v>
      </c>
      <c r="E47" s="9">
        <v>66.174537612193518</v>
      </c>
      <c r="F47" s="9">
        <v>84.756934227575954</v>
      </c>
      <c r="G47" s="9">
        <v>100.26695080169101</v>
      </c>
      <c r="H47" s="9">
        <v>117.33909492209017</v>
      </c>
      <c r="I47" s="9">
        <v>136.48239526604115</v>
      </c>
      <c r="J47" s="9">
        <v>164.84040630827752</v>
      </c>
    </row>
    <row r="48" spans="1:10" ht="15.75" thickBot="1" x14ac:dyDescent="0.3">
      <c r="A48" s="7" t="s">
        <v>77</v>
      </c>
      <c r="B48" s="8">
        <v>0.16666666666666666</v>
      </c>
      <c r="C48" s="9">
        <v>26.193795396401715</v>
      </c>
      <c r="D48" s="9">
        <v>37.654574658928063</v>
      </c>
      <c r="E48" s="9">
        <v>46.34905230228587</v>
      </c>
      <c r="F48" s="9">
        <v>58.578982209084451</v>
      </c>
      <c r="G48" s="9">
        <v>68.691865403111336</v>
      </c>
      <c r="H48" s="9">
        <v>79.723762110547412</v>
      </c>
      <c r="I48" s="9">
        <v>91.951934746871046</v>
      </c>
      <c r="J48" s="9">
        <v>109.89074783100101</v>
      </c>
    </row>
    <row r="49" spans="1:10" ht="15.75" thickBot="1" x14ac:dyDescent="0.3">
      <c r="A49" s="7" t="s">
        <v>78</v>
      </c>
      <c r="B49" s="8">
        <v>0.25</v>
      </c>
      <c r="C49" s="9">
        <v>21.691447049066671</v>
      </c>
      <c r="D49" s="9">
        <v>30.79201392816984</v>
      </c>
      <c r="E49" s="9">
        <v>37.63365286064667</v>
      </c>
      <c r="F49" s="9">
        <v>47.194815052661689</v>
      </c>
      <c r="G49" s="9">
        <v>55.058421793395063</v>
      </c>
      <c r="H49" s="9">
        <v>63.591480132865435</v>
      </c>
      <c r="I49" s="9">
        <v>72.984490615903255</v>
      </c>
      <c r="J49" s="9">
        <v>86.685756245272756</v>
      </c>
    </row>
    <row r="50" spans="1:10" ht="15.75" thickBot="1" x14ac:dyDescent="0.3">
      <c r="A50" s="7" t="s">
        <v>79</v>
      </c>
      <c r="B50" s="8">
        <v>0.5</v>
      </c>
      <c r="C50" s="9">
        <v>15.713126835481255</v>
      </c>
      <c r="D50" s="9">
        <v>21.830394969478117</v>
      </c>
      <c r="E50" s="9">
        <v>26.358841447239307</v>
      </c>
      <c r="F50" s="9">
        <v>32.618266063137284</v>
      </c>
      <c r="G50" s="9">
        <v>37.719963247110542</v>
      </c>
      <c r="H50" s="9">
        <v>43.205992322817359</v>
      </c>
      <c r="I50" s="9">
        <v>49.171654011240612</v>
      </c>
      <c r="J50" s="9">
        <v>57.789002062236136</v>
      </c>
    </row>
    <row r="51" spans="1:10" ht="15.75" thickBot="1" x14ac:dyDescent="0.3">
      <c r="A51" s="7" t="s">
        <v>80</v>
      </c>
      <c r="B51" s="8">
        <v>1</v>
      </c>
      <c r="C51" s="9">
        <v>11.382475055233568</v>
      </c>
      <c r="D51" s="9">
        <v>15.476939755714797</v>
      </c>
      <c r="E51" s="9">
        <v>18.461894332007237</v>
      </c>
      <c r="F51" s="9">
        <v>22.543817149795334</v>
      </c>
      <c r="G51" s="9">
        <v>25.841562126541955</v>
      </c>
      <c r="H51" s="9">
        <v>29.355469768890824</v>
      </c>
      <c r="I51" s="9">
        <v>33.128292570069775</v>
      </c>
      <c r="J51" s="9">
        <v>38.524999999999999</v>
      </c>
    </row>
    <row r="52" spans="1:10" ht="15.75" thickBot="1" x14ac:dyDescent="0.3">
      <c r="A52" s="7" t="s">
        <v>81</v>
      </c>
      <c r="B52" s="8">
        <v>2</v>
      </c>
      <c r="C52" s="9">
        <v>8.2453823315712</v>
      </c>
      <c r="D52" s="9">
        <v>10.972575830026386</v>
      </c>
      <c r="E52" s="9">
        <v>12.930824103496363</v>
      </c>
      <c r="F52" s="9">
        <v>15.580953650315658</v>
      </c>
      <c r="G52" s="9">
        <v>17.703790662921232</v>
      </c>
      <c r="H52" s="9">
        <v>19.945002047717598</v>
      </c>
      <c r="I52" s="9">
        <v>22.319439739758522</v>
      </c>
      <c r="J52" s="9">
        <v>25.68266576746921</v>
      </c>
    </row>
    <row r="53" spans="1:10" ht="15.75" thickBot="1" x14ac:dyDescent="0.3">
      <c r="A53" s="7" t="s">
        <v>82</v>
      </c>
      <c r="B53" s="8">
        <v>6</v>
      </c>
      <c r="C53" s="9">
        <v>4.9462377033307812</v>
      </c>
      <c r="D53" s="9">
        <v>6.3613960952080557</v>
      </c>
      <c r="E53" s="9">
        <v>7.3537974434353464</v>
      </c>
      <c r="F53" s="9">
        <v>8.6758709782531991</v>
      </c>
      <c r="G53" s="9">
        <v>9.7214761780174435</v>
      </c>
      <c r="H53" s="9">
        <v>10.809118668501156</v>
      </c>
      <c r="I53" s="9">
        <v>11.9354070322646</v>
      </c>
      <c r="J53" s="9">
        <v>13.505919782095637</v>
      </c>
    </row>
    <row r="54" spans="1:10" ht="15.75" thickBot="1" x14ac:dyDescent="0.3">
      <c r="A54" s="7" t="s">
        <v>83</v>
      </c>
      <c r="B54" s="8">
        <v>12</v>
      </c>
      <c r="C54" s="9">
        <v>3.5830186992628601</v>
      </c>
      <c r="D54" s="9">
        <v>4.5099937158914409</v>
      </c>
      <c r="E54" s="9">
        <v>5.1506448647008973</v>
      </c>
      <c r="F54" s="9">
        <v>5.9962491130083135</v>
      </c>
      <c r="G54" s="9">
        <v>6.660084183278717</v>
      </c>
      <c r="H54" s="9">
        <v>7.3440451021412461</v>
      </c>
      <c r="I54" s="9">
        <v>8.0412112233878013</v>
      </c>
      <c r="J54" s="9">
        <v>9.0037124891839806</v>
      </c>
    </row>
    <row r="55" spans="1:10" ht="15.75" thickBot="1" x14ac:dyDescent="0.3">
      <c r="A55" s="7" t="s">
        <v>84</v>
      </c>
      <c r="B55" s="11">
        <v>24</v>
      </c>
      <c r="C55" s="9">
        <v>2.5955127450955771</v>
      </c>
      <c r="D55" s="9">
        <v>3.197418147362673</v>
      </c>
      <c r="E55" s="9">
        <v>3.6075432762908095</v>
      </c>
      <c r="F55" s="9">
        <v>4.1442528958046072</v>
      </c>
      <c r="G55" s="9">
        <v>4.5627557498582734</v>
      </c>
      <c r="H55" s="9">
        <v>4.9897683720927928</v>
      </c>
      <c r="I55" s="9">
        <v>5.4175846508076138</v>
      </c>
      <c r="J55" s="9">
        <v>6.0023189753692519</v>
      </c>
    </row>
    <row r="56" spans="1:10" ht="15.75" thickBot="1" x14ac:dyDescent="0.3">
      <c r="A56" s="7" t="s">
        <v>85</v>
      </c>
      <c r="B56" s="8">
        <v>8.3333333333333329E-2</v>
      </c>
      <c r="C56" s="9">
        <v>40.814975624645697</v>
      </c>
      <c r="D56" s="9">
        <v>62.768951337511126</v>
      </c>
      <c r="E56" s="9">
        <v>79.710285824123787</v>
      </c>
      <c r="F56" s="9">
        <v>104.78297925979494</v>
      </c>
      <c r="G56" s="9">
        <v>125.14299814557887</v>
      </c>
      <c r="H56" s="9">
        <v>147.22303208940502</v>
      </c>
      <c r="I56" s="9">
        <v>172.46147264312421</v>
      </c>
      <c r="J56" s="9">
        <v>212.15098902001401</v>
      </c>
    </row>
    <row r="57" spans="1:10" ht="15.75" thickBot="1" x14ac:dyDescent="0.3">
      <c r="A57" s="7" t="s">
        <v>86</v>
      </c>
      <c r="B57" s="8">
        <v>0.16666666666666666</v>
      </c>
      <c r="C57" s="9">
        <v>29.608720319830532</v>
      </c>
      <c r="D57" s="9">
        <v>44.532266442986518</v>
      </c>
      <c r="E57" s="9">
        <v>55.913500951239371</v>
      </c>
      <c r="F57" s="9">
        <v>72.464573767378312</v>
      </c>
      <c r="G57" s="9">
        <v>85.808150126841838</v>
      </c>
      <c r="H57" s="9">
        <v>100.17686858304273</v>
      </c>
      <c r="I57" s="9">
        <v>116.37841719890926</v>
      </c>
      <c r="J57" s="9">
        <v>141.72471856723169</v>
      </c>
    </row>
    <row r="58" spans="1:10" ht="15.75" thickBot="1" x14ac:dyDescent="0.3">
      <c r="A58" s="7" t="s">
        <v>87</v>
      </c>
      <c r="B58" s="8">
        <v>0.25</v>
      </c>
      <c r="C58" s="9">
        <v>24.54007701844326</v>
      </c>
      <c r="D58" s="9">
        <v>36.431277077018144</v>
      </c>
      <c r="E58" s="9">
        <v>45.439528634830296</v>
      </c>
      <c r="F58" s="9">
        <v>58.403008971386022</v>
      </c>
      <c r="G58" s="9">
        <v>68.812295454003689</v>
      </c>
      <c r="H58" s="9">
        <v>79.9754814609486</v>
      </c>
      <c r="I58" s="9">
        <v>92.459035817376915</v>
      </c>
      <c r="J58" s="9">
        <v>111.93360483328334</v>
      </c>
    </row>
    <row r="59" spans="1:10" ht="15.75" thickBot="1" x14ac:dyDescent="0.3">
      <c r="A59" s="7" t="s">
        <v>88</v>
      </c>
      <c r="B59" s="8">
        <v>0.5</v>
      </c>
      <c r="C59" s="9">
        <v>17.802295994204574</v>
      </c>
      <c r="D59" s="9">
        <v>25.84665352984003</v>
      </c>
      <c r="E59" s="9">
        <v>31.873968350249363</v>
      </c>
      <c r="F59" s="9">
        <v>40.389662345358886</v>
      </c>
      <c r="G59" s="9">
        <v>47.183269271053085</v>
      </c>
      <c r="H59" s="9">
        <v>54.418749447530132</v>
      </c>
      <c r="I59" s="9">
        <v>62.392116217341027</v>
      </c>
      <c r="J59" s="9">
        <v>74.77579395925531</v>
      </c>
    </row>
    <row r="60" spans="1:10" ht="15.75" thickBot="1" x14ac:dyDescent="0.3">
      <c r="A60" s="7" t="s">
        <v>89</v>
      </c>
      <c r="B60" s="8">
        <v>1</v>
      </c>
      <c r="C60" s="9">
        <v>12.914455909290238</v>
      </c>
      <c r="D60" s="9">
        <v>18.337251732331289</v>
      </c>
      <c r="E60" s="9">
        <v>22.358283391477624</v>
      </c>
      <c r="F60" s="9">
        <v>27.932205088463039</v>
      </c>
      <c r="G60" s="9">
        <v>32.352661459939313</v>
      </c>
      <c r="H60" s="9">
        <v>37.028852309930635</v>
      </c>
      <c r="I60" s="9">
        <v>42.102712100168517</v>
      </c>
      <c r="J60" s="9">
        <v>49.953000000000003</v>
      </c>
    </row>
    <row r="61" spans="1:10" ht="15.75" thickBot="1" x14ac:dyDescent="0.3">
      <c r="A61" s="7" t="s">
        <v>90</v>
      </c>
      <c r="B61" s="8">
        <v>2</v>
      </c>
      <c r="C61" s="9">
        <v>9.3686326464461001</v>
      </c>
      <c r="D61" s="9">
        <v>13.009606860968667</v>
      </c>
      <c r="E61" s="9">
        <v>15.68342011011984</v>
      </c>
      <c r="F61" s="9">
        <v>19.317024104649715</v>
      </c>
      <c r="G61" s="9">
        <v>22.18359854482549</v>
      </c>
      <c r="H61" s="9">
        <v>25.196020072322447</v>
      </c>
      <c r="I61" s="9">
        <v>28.411255678758277</v>
      </c>
      <c r="J61" s="9">
        <v>33.370454218910325</v>
      </c>
    </row>
    <row r="62" spans="1:10" ht="15.75" thickBot="1" x14ac:dyDescent="0.3">
      <c r="A62" s="7" t="s">
        <v>91</v>
      </c>
      <c r="B62" s="8">
        <v>6</v>
      </c>
      <c r="C62" s="9">
        <v>5.6329071176135228</v>
      </c>
      <c r="D62" s="9">
        <v>7.5508126568268201</v>
      </c>
      <c r="E62" s="9">
        <v>8.9404674668747166</v>
      </c>
      <c r="F62" s="9">
        <v>10.766751814597578</v>
      </c>
      <c r="G62" s="9">
        <v>12.198080275524129</v>
      </c>
      <c r="H62" s="9">
        <v>13.687150764290829</v>
      </c>
      <c r="I62" s="9">
        <v>15.23167618923666</v>
      </c>
      <c r="J62" s="9">
        <v>17.606683112348346</v>
      </c>
    </row>
    <row r="63" spans="1:10" ht="15.75" thickBot="1" x14ac:dyDescent="0.3">
      <c r="A63" s="7" t="s">
        <v>92</v>
      </c>
      <c r="B63" s="8">
        <v>12</v>
      </c>
      <c r="C63" s="9">
        <v>4.0863229459407373</v>
      </c>
      <c r="D63" s="9">
        <v>5.3570243556695969</v>
      </c>
      <c r="E63" s="9">
        <v>6.2713717689660431</v>
      </c>
      <c r="F63" s="9">
        <v>7.4459429061426308</v>
      </c>
      <c r="G63" s="9">
        <v>8.3639893485996097</v>
      </c>
      <c r="H63" s="9">
        <v>9.3133247151029828</v>
      </c>
      <c r="I63" s="9">
        <v>10.278460104871133</v>
      </c>
      <c r="J63" s="9">
        <v>11.761916456418673</v>
      </c>
    </row>
    <row r="64" spans="1:10" ht="15.75" thickBot="1" x14ac:dyDescent="0.3">
      <c r="A64" s="7" t="s">
        <v>93</v>
      </c>
      <c r="B64" s="11">
        <v>24</v>
      </c>
      <c r="C64" s="9">
        <v>2.9643725468699347</v>
      </c>
      <c r="D64" s="9">
        <v>3.8006120998500963</v>
      </c>
      <c r="E64" s="9">
        <v>4.3991104503546428</v>
      </c>
      <c r="F64" s="9">
        <v>5.1493771488600055</v>
      </c>
      <c r="G64" s="9">
        <v>5.7350268438434142</v>
      </c>
      <c r="H64" s="9">
        <v>6.3371857841475485</v>
      </c>
      <c r="I64" s="9">
        <v>6.9359892381432013</v>
      </c>
      <c r="J64" s="9">
        <v>7.8573958448054615</v>
      </c>
    </row>
    <row r="65" spans="1:10" ht="15.75" thickBot="1" x14ac:dyDescent="0.3">
      <c r="A65" s="7" t="s">
        <v>94</v>
      </c>
      <c r="B65" s="8">
        <v>8.3333333333333329E-2</v>
      </c>
      <c r="C65" s="9">
        <v>46.988767388705099</v>
      </c>
      <c r="D65" s="9">
        <v>76.207493307366619</v>
      </c>
      <c r="E65" s="9">
        <v>98.886498039466247</v>
      </c>
      <c r="F65" s="9">
        <v>130.6613438050193</v>
      </c>
      <c r="G65" s="9">
        <v>157.59187207758703</v>
      </c>
      <c r="H65" s="9">
        <v>186.87402176283786</v>
      </c>
      <c r="I65" s="9">
        <v>219.28951772058258</v>
      </c>
      <c r="J65" s="9">
        <v>273.1846375337098</v>
      </c>
    </row>
    <row r="66" spans="1:10" ht="15.75" thickBot="1" x14ac:dyDescent="0.3">
      <c r="A66" s="7" t="s">
        <v>95</v>
      </c>
      <c r="B66" s="8">
        <v>0.16666666666666666</v>
      </c>
      <c r="C66" s="9">
        <v>34.154170789150108</v>
      </c>
      <c r="D66" s="9">
        <v>54.08777571785393</v>
      </c>
      <c r="E66" s="9">
        <v>69.300709754844391</v>
      </c>
      <c r="F66" s="9">
        <v>90.395235991973223</v>
      </c>
      <c r="G66" s="9">
        <v>108.06167327923232</v>
      </c>
      <c r="H66" s="9">
        <v>127.11949215858962</v>
      </c>
      <c r="I66" s="9">
        <v>148.00847315342804</v>
      </c>
      <c r="J66" s="9">
        <v>182.623997859821</v>
      </c>
    </row>
    <row r="67" spans="1:10" ht="15.75" thickBot="1" x14ac:dyDescent="0.3">
      <c r="A67" s="7" t="s">
        <v>96</v>
      </c>
      <c r="B67" s="8">
        <v>0.25</v>
      </c>
      <c r="C67" s="9">
        <v>28.339815057857003</v>
      </c>
      <c r="D67" s="9">
        <v>44.258740549748055</v>
      </c>
      <c r="E67" s="9">
        <v>56.288525641313321</v>
      </c>
      <c r="F67" s="9">
        <v>72.870310487599909</v>
      </c>
      <c r="G67" s="9">
        <v>86.659960899113386</v>
      </c>
      <c r="H67" s="9">
        <v>101.4673705529775</v>
      </c>
      <c r="I67" s="9">
        <v>117.60212624356227</v>
      </c>
      <c r="J67" s="9">
        <v>144.29418324637359</v>
      </c>
    </row>
    <row r="68" spans="1:10" ht="15.75" thickBot="1" x14ac:dyDescent="0.3">
      <c r="A68" s="7" t="s">
        <v>97</v>
      </c>
      <c r="B68" s="8">
        <v>0.5</v>
      </c>
      <c r="C68" s="9">
        <v>20.599026903856178</v>
      </c>
      <c r="D68" s="9">
        <v>31.412354986593655</v>
      </c>
      <c r="E68" s="9">
        <v>39.447597552093733</v>
      </c>
      <c r="F68" s="9">
        <v>50.413754531444788</v>
      </c>
      <c r="G68" s="9">
        <v>59.423244724579227</v>
      </c>
      <c r="H68" s="9">
        <v>69.022331160247717</v>
      </c>
      <c r="I68" s="9">
        <v>79.375025882838159</v>
      </c>
      <c r="J68" s="9">
        <v>96.460697242240343</v>
      </c>
    </row>
    <row r="69" spans="1:10" ht="15.75" thickBot="1" x14ac:dyDescent="0.3">
      <c r="A69" s="7" t="s">
        <v>98</v>
      </c>
      <c r="B69" s="8">
        <v>1</v>
      </c>
      <c r="C69" s="9">
        <v>14.972571575344528</v>
      </c>
      <c r="D69" s="9">
        <v>22.294715880915241</v>
      </c>
      <c r="E69" s="9">
        <v>27.645295997766063</v>
      </c>
      <c r="F69" s="9">
        <v>34.877670054517679</v>
      </c>
      <c r="G69" s="9">
        <v>40.746868299514318</v>
      </c>
      <c r="H69" s="9">
        <v>46.951864159202898</v>
      </c>
      <c r="I69" s="9">
        <v>53.573816521417875</v>
      </c>
      <c r="J69" s="9">
        <v>64.483999999999995</v>
      </c>
    </row>
    <row r="70" spans="1:10" ht="15.75" thickBot="1" x14ac:dyDescent="0.3">
      <c r="A70" s="7" t="s">
        <v>99</v>
      </c>
      <c r="B70" s="8">
        <v>2</v>
      </c>
      <c r="C70" s="9">
        <v>10.882936394284158</v>
      </c>
      <c r="D70" s="9">
        <v>15.823530468278165</v>
      </c>
      <c r="E70" s="9">
        <v>19.374117518686155</v>
      </c>
      <c r="F70" s="9">
        <v>24.1293646890167</v>
      </c>
      <c r="G70" s="9">
        <v>27.940367173036783</v>
      </c>
      <c r="H70" s="9">
        <v>31.938613358423837</v>
      </c>
      <c r="I70" s="9">
        <v>36.159406371810825</v>
      </c>
      <c r="J70" s="9">
        <v>43.107569972852325</v>
      </c>
    </row>
    <row r="71" spans="1:10" ht="15.75" thickBot="1" x14ac:dyDescent="0.3">
      <c r="A71" s="7" t="s">
        <v>100</v>
      </c>
      <c r="B71" s="8">
        <v>6</v>
      </c>
      <c r="C71" s="9">
        <v>6.5637049414190551</v>
      </c>
      <c r="D71" s="9">
        <v>9.1897725431267929</v>
      </c>
      <c r="E71" s="9">
        <v>11.028204379258545</v>
      </c>
      <c r="F71" s="9">
        <v>13.457035153266437</v>
      </c>
      <c r="G71" s="9">
        <v>15.364441673299991</v>
      </c>
      <c r="H71" s="9">
        <v>17.341774346250656</v>
      </c>
      <c r="I71" s="9">
        <v>19.391820991865092</v>
      </c>
      <c r="J71" s="9">
        <v>22.769111971756036</v>
      </c>
    </row>
    <row r="72" spans="1:10" ht="15.75" thickBot="1" x14ac:dyDescent="0.3">
      <c r="A72" s="7" t="s">
        <v>101</v>
      </c>
      <c r="B72" s="8">
        <v>12</v>
      </c>
      <c r="C72" s="9">
        <v>4.7708827457496055</v>
      </c>
      <c r="D72" s="9">
        <v>6.5223816535464803</v>
      </c>
      <c r="E72" s="9">
        <v>7.7286829441475238</v>
      </c>
      <c r="F72" s="9">
        <v>9.309959878011524</v>
      </c>
      <c r="G72" s="9">
        <v>10.535487993952806</v>
      </c>
      <c r="H72" s="9">
        <v>11.796597125853845</v>
      </c>
      <c r="I72" s="9">
        <v>13.088422312678347</v>
      </c>
      <c r="J72" s="9">
        <v>15.221156993086394</v>
      </c>
    </row>
    <row r="73" spans="1:10" ht="15.75" thickBot="1" x14ac:dyDescent="0.3">
      <c r="A73" s="7" t="s">
        <v>102</v>
      </c>
      <c r="B73" s="11">
        <v>24</v>
      </c>
      <c r="C73" s="9">
        <v>3.4677552353184176</v>
      </c>
      <c r="D73" s="9">
        <v>4.6292182134950988</v>
      </c>
      <c r="E73" s="9">
        <v>5.416343222972877</v>
      </c>
      <c r="F73" s="9">
        <v>6.4408951855301932</v>
      </c>
      <c r="G73" s="9">
        <v>7.2242460631427434</v>
      </c>
      <c r="H73" s="9">
        <v>8.0245366460894996</v>
      </c>
      <c r="I73" s="9">
        <v>8.8339717402960698</v>
      </c>
      <c r="J73" s="9">
        <v>10.175347220197914</v>
      </c>
    </row>
    <row r="74" spans="1:10" ht="15.75" thickBot="1" x14ac:dyDescent="0.3">
      <c r="A74" s="7" t="s">
        <v>103</v>
      </c>
      <c r="B74" s="8">
        <v>8.3333333333333329E-2</v>
      </c>
      <c r="C74" s="9">
        <v>47.448550527095342</v>
      </c>
      <c r="D74" s="9">
        <v>75.126548500989088</v>
      </c>
      <c r="E74" s="9">
        <v>95.826364049441636</v>
      </c>
      <c r="F74" s="9">
        <v>124.21057157412379</v>
      </c>
      <c r="G74" s="9">
        <v>147.88904577569389</v>
      </c>
      <c r="H74" s="9">
        <v>173.72586273047</v>
      </c>
      <c r="I74" s="9">
        <v>203.40927408154676</v>
      </c>
      <c r="J74" s="9">
        <v>248.50634322774178</v>
      </c>
    </row>
    <row r="75" spans="1:10" ht="15.75" thickBot="1" x14ac:dyDescent="0.3">
      <c r="A75" s="7" t="s">
        <v>104</v>
      </c>
      <c r="B75" s="8">
        <v>0.16666666666666666</v>
      </c>
      <c r="C75" s="9">
        <v>34.58191769898702</v>
      </c>
      <c r="D75" s="9">
        <v>53.412679661769708</v>
      </c>
      <c r="E75" s="9">
        <v>67.240941080422687</v>
      </c>
      <c r="F75" s="9">
        <v>85.973426455930934</v>
      </c>
      <c r="G75" s="9">
        <v>101.43833493195348</v>
      </c>
      <c r="H75" s="9">
        <v>118.17878407620412</v>
      </c>
      <c r="I75" s="9">
        <v>137.16408556343274</v>
      </c>
      <c r="J75" s="9">
        <v>165.89641125939505</v>
      </c>
    </row>
    <row r="76" spans="1:10" ht="15.75" thickBot="1" x14ac:dyDescent="0.3">
      <c r="A76" s="7" t="s">
        <v>105</v>
      </c>
      <c r="B76" s="8">
        <v>0.25</v>
      </c>
      <c r="C76" s="9">
        <v>28.740247659098692</v>
      </c>
      <c r="D76" s="9">
        <v>43.750469317547207</v>
      </c>
      <c r="E76" s="9">
        <v>54.655841419355873</v>
      </c>
      <c r="F76" s="9">
        <v>69.325106939622302</v>
      </c>
      <c r="G76" s="9">
        <v>81.362432304704953</v>
      </c>
      <c r="H76" s="9">
        <v>94.332357965232845</v>
      </c>
      <c r="I76" s="9">
        <v>108.92700994892496</v>
      </c>
      <c r="J76" s="9">
        <v>130.97119414320665</v>
      </c>
    </row>
    <row r="77" spans="1:10" ht="15.75" thickBot="1" x14ac:dyDescent="0.3">
      <c r="A77" s="7" t="s">
        <v>106</v>
      </c>
      <c r="B77" s="8">
        <v>0.5</v>
      </c>
      <c r="C77" s="9">
        <v>20.946749018769204</v>
      </c>
      <c r="D77" s="9">
        <v>31.105246405396457</v>
      </c>
      <c r="E77" s="9">
        <v>38.351765185243394</v>
      </c>
      <c r="F77" s="9">
        <v>47.983975176109809</v>
      </c>
      <c r="G77" s="9">
        <v>55.807173653151722</v>
      </c>
      <c r="H77" s="9">
        <v>64.170545410779354</v>
      </c>
      <c r="I77" s="9">
        <v>73.452273895896397</v>
      </c>
      <c r="J77" s="9">
        <v>87.432983820470668</v>
      </c>
    </row>
    <row r="78" spans="1:10" ht="15.75" thickBot="1" x14ac:dyDescent="0.3">
      <c r="A78" s="7" t="s">
        <v>107</v>
      </c>
      <c r="B78" s="8">
        <v>1</v>
      </c>
      <c r="C78" s="9">
        <v>15.266614945692796</v>
      </c>
      <c r="D78" s="9">
        <v>22.114879429473337</v>
      </c>
      <c r="E78" s="9">
        <v>26.911266108569251</v>
      </c>
      <c r="F78" s="9">
        <v>33.212525379972632</v>
      </c>
      <c r="G78" s="9">
        <v>38.278607742322045</v>
      </c>
      <c r="H78" s="9">
        <v>43.652665820508545</v>
      </c>
      <c r="I78" s="9">
        <v>49.530750389711123</v>
      </c>
      <c r="J78" s="9">
        <v>58.368000000000002</v>
      </c>
    </row>
    <row r="79" spans="1:10" ht="15.75" thickBot="1" x14ac:dyDescent="0.3">
      <c r="A79" s="7" t="s">
        <v>108</v>
      </c>
      <c r="B79" s="8">
        <v>2</v>
      </c>
      <c r="C79" s="9">
        <v>11.126763952306403</v>
      </c>
      <c r="D79" s="9">
        <v>15.723003309669794</v>
      </c>
      <c r="E79" s="9">
        <v>18.8835178789863</v>
      </c>
      <c r="F79" s="9">
        <v>22.988338045500701</v>
      </c>
      <c r="G79" s="9">
        <v>26.255617598505754</v>
      </c>
      <c r="H79" s="9">
        <v>29.695169661389532</v>
      </c>
      <c r="I79" s="9">
        <v>33.399854137190005</v>
      </c>
      <c r="J79" s="9">
        <v>38.964968083387788</v>
      </c>
    </row>
    <row r="80" spans="1:10" ht="15.75" thickBot="1" x14ac:dyDescent="0.3">
      <c r="A80" s="7" t="s">
        <v>109</v>
      </c>
      <c r="B80" s="8">
        <v>6</v>
      </c>
      <c r="C80" s="9">
        <v>6.7396358388441193</v>
      </c>
      <c r="D80" s="9">
        <v>9.1564006014510966</v>
      </c>
      <c r="E80" s="9">
        <v>10.770465611122816</v>
      </c>
      <c r="F80" s="9">
        <v>12.830381288580478</v>
      </c>
      <c r="G80" s="9">
        <v>14.444754161959306</v>
      </c>
      <c r="H80" s="9">
        <v>16.124342860121608</v>
      </c>
      <c r="I80" s="9">
        <v>17.885842522774087</v>
      </c>
      <c r="J80" s="9">
        <v>20.535847630079854</v>
      </c>
    </row>
    <row r="81" spans="1:10" ht="15.75" thickBot="1" x14ac:dyDescent="0.3">
      <c r="A81" s="7" t="s">
        <v>110</v>
      </c>
      <c r="B81" s="8">
        <v>12</v>
      </c>
      <c r="C81" s="9">
        <v>4.9120474558428722</v>
      </c>
      <c r="D81" s="9">
        <v>6.5099209525605177</v>
      </c>
      <c r="E81" s="9">
        <v>7.5575886735363191</v>
      </c>
      <c r="F81" s="9">
        <v>8.8806598998464334</v>
      </c>
      <c r="G81" s="9">
        <v>9.9077778411859683</v>
      </c>
      <c r="H81" s="9">
        <v>10.968748137365143</v>
      </c>
      <c r="I81" s="9">
        <v>12.060881910351553</v>
      </c>
      <c r="J81" s="9">
        <v>13.709201060022208</v>
      </c>
    </row>
    <row r="82" spans="1:10" ht="15.75" thickBot="1" x14ac:dyDescent="0.3">
      <c r="A82" s="7" t="s">
        <v>111</v>
      </c>
      <c r="B82" s="11">
        <v>24</v>
      </c>
      <c r="C82" s="9">
        <v>3.5800465760165667</v>
      </c>
      <c r="D82" s="9">
        <v>4.6283548146495743</v>
      </c>
      <c r="E82" s="9">
        <v>5.3031269603961002</v>
      </c>
      <c r="F82" s="9">
        <v>6.1468259191123389</v>
      </c>
      <c r="G82" s="9">
        <v>6.7958277897739299</v>
      </c>
      <c r="H82" s="9">
        <v>7.4616024196873152</v>
      </c>
      <c r="I82" s="9">
        <v>8.1329617137255106</v>
      </c>
      <c r="J82" s="9">
        <v>9.151908267415557</v>
      </c>
    </row>
    <row r="83" spans="1:10" ht="15.75" thickBot="1" x14ac:dyDescent="0.3">
      <c r="A83" s="7" t="s">
        <v>112</v>
      </c>
      <c r="B83" s="8">
        <v>8.3333333333333329E-2</v>
      </c>
      <c r="C83" s="9">
        <v>54.584915469709678</v>
      </c>
      <c r="D83" s="9">
        <v>91.905492677042886</v>
      </c>
      <c r="E83" s="9">
        <v>121.34399967028031</v>
      </c>
      <c r="F83" s="9">
        <v>162.68432754396321</v>
      </c>
      <c r="G83" s="9">
        <v>197.3429198066639</v>
      </c>
      <c r="H83" s="9">
        <v>235.47624077341544</v>
      </c>
      <c r="I83" s="9">
        <v>277.97844503598327</v>
      </c>
      <c r="J83" s="9">
        <v>350.68920375906805</v>
      </c>
    </row>
    <row r="84" spans="1:10" ht="15.75" thickBot="1" x14ac:dyDescent="0.3">
      <c r="A84" s="7" t="s">
        <v>113</v>
      </c>
      <c r="B84" s="8">
        <v>0.16666666666666666</v>
      </c>
      <c r="C84" s="9">
        <v>39.779484256508631</v>
      </c>
      <c r="D84" s="9">
        <v>65.301112826253913</v>
      </c>
      <c r="E84" s="9">
        <v>85.124079318142407</v>
      </c>
      <c r="F84" s="9">
        <v>112.67829767788943</v>
      </c>
      <c r="G84" s="9">
        <v>135.53770682107674</v>
      </c>
      <c r="H84" s="9">
        <v>160.45643136005651</v>
      </c>
      <c r="I84" s="9">
        <v>187.92924214516248</v>
      </c>
      <c r="J84" s="9">
        <v>234.92382237243768</v>
      </c>
    </row>
    <row r="85" spans="1:10" ht="15.75" thickBot="1" x14ac:dyDescent="0.3">
      <c r="A85" s="7" t="s">
        <v>114</v>
      </c>
      <c r="B85" s="8">
        <v>0.25</v>
      </c>
      <c r="C85" s="9">
        <v>33.058063315678858</v>
      </c>
      <c r="D85" s="9">
        <v>53.468737563338784</v>
      </c>
      <c r="E85" s="9">
        <v>69.181211428009519</v>
      </c>
      <c r="F85" s="9">
        <v>90.894075441068466</v>
      </c>
      <c r="G85" s="9">
        <v>108.7969757880073</v>
      </c>
      <c r="H85" s="9">
        <v>128.20596930923622</v>
      </c>
      <c r="I85" s="9">
        <v>149.46549129401879</v>
      </c>
      <c r="J85" s="9">
        <v>185.84304418206133</v>
      </c>
    </row>
    <row r="86" spans="1:10" ht="15.75" thickBot="1" x14ac:dyDescent="0.3">
      <c r="A86" s="7" t="s">
        <v>115</v>
      </c>
      <c r="B86" s="8">
        <v>0.5</v>
      </c>
      <c r="C86" s="9">
        <v>24.091503997042047</v>
      </c>
      <c r="D86" s="9">
        <v>37.990853023010963</v>
      </c>
      <c r="E86" s="9">
        <v>48.531340197494728</v>
      </c>
      <c r="F86" s="9">
        <v>62.954986779150872</v>
      </c>
      <c r="G86" s="9">
        <v>74.723190585309112</v>
      </c>
      <c r="H86" s="9">
        <v>87.361137781249283</v>
      </c>
      <c r="I86" s="9">
        <v>101.04717472645524</v>
      </c>
      <c r="J86" s="9">
        <v>124.49473161019927</v>
      </c>
    </row>
    <row r="87" spans="1:10" ht="15.75" thickBot="1" x14ac:dyDescent="0.3">
      <c r="A87" s="7" t="s">
        <v>116</v>
      </c>
      <c r="B87" s="8">
        <v>1</v>
      </c>
      <c r="C87" s="9">
        <v>17.557004452956537</v>
      </c>
      <c r="D87" s="9">
        <v>26.993435401505216</v>
      </c>
      <c r="E87" s="9">
        <v>34.045240503137208</v>
      </c>
      <c r="F87" s="9">
        <v>43.603836016052576</v>
      </c>
      <c r="G87" s="9">
        <v>51.320867798090987</v>
      </c>
      <c r="H87" s="9">
        <v>59.528962930157391</v>
      </c>
      <c r="I87" s="9">
        <v>68.313638364278233</v>
      </c>
      <c r="J87" s="9">
        <v>83.397999999999996</v>
      </c>
    </row>
    <row r="88" spans="1:10" ht="15.75" thickBot="1" x14ac:dyDescent="0.3">
      <c r="A88" s="7" t="s">
        <v>117</v>
      </c>
      <c r="B88" s="8">
        <v>2</v>
      </c>
      <c r="C88" s="9">
        <v>12.79490086625486</v>
      </c>
      <c r="D88" s="9">
        <v>19.179499716257922</v>
      </c>
      <c r="E88" s="9">
        <v>23.88309072446113</v>
      </c>
      <c r="F88" s="9">
        <v>30.200856398947973</v>
      </c>
      <c r="G88" s="9">
        <v>35.247845426811246</v>
      </c>
      <c r="H88" s="9">
        <v>40.563773750445051</v>
      </c>
      <c r="I88" s="9">
        <v>46.183905677706989</v>
      </c>
      <c r="J88" s="9">
        <v>55.867636437638545</v>
      </c>
    </row>
    <row r="89" spans="1:10" ht="15.75" thickBot="1" x14ac:dyDescent="0.3">
      <c r="A89" s="7" t="s">
        <v>118</v>
      </c>
      <c r="B89" s="8">
        <v>6</v>
      </c>
      <c r="C89" s="9">
        <v>7.7489291558801625</v>
      </c>
      <c r="D89" s="9">
        <v>11.158241004467042</v>
      </c>
      <c r="E89" s="9">
        <v>13.616339938133358</v>
      </c>
      <c r="F89" s="9">
        <v>16.873653174544629</v>
      </c>
      <c r="G89" s="9">
        <v>19.432462989993272</v>
      </c>
      <c r="H89" s="9">
        <v>22.085106826214819</v>
      </c>
      <c r="I89" s="9">
        <v>24.832501495220413</v>
      </c>
      <c r="J89" s="9">
        <v>29.606305285521429</v>
      </c>
    </row>
    <row r="90" spans="1:10" ht="15.75" thickBot="1" x14ac:dyDescent="0.3">
      <c r="A90" s="7" t="s">
        <v>119</v>
      </c>
      <c r="B90" s="8">
        <v>12</v>
      </c>
      <c r="C90" s="9">
        <v>5.6471353433200662</v>
      </c>
      <c r="D90" s="9">
        <v>7.9282046540537596</v>
      </c>
      <c r="E90" s="9">
        <v>9.5520042529168148</v>
      </c>
      <c r="F90" s="9">
        <v>11.687017084058112</v>
      </c>
      <c r="G90" s="9">
        <v>13.34647057076832</v>
      </c>
      <c r="H90" s="9">
        <v>15.049065739714855</v>
      </c>
      <c r="I90" s="9">
        <v>16.788183652014073</v>
      </c>
      <c r="J90" s="9">
        <v>19.833021175007161</v>
      </c>
    </row>
    <row r="91" spans="1:10" ht="15.75" thickBot="1" x14ac:dyDescent="0.3">
      <c r="A91" s="7" t="s">
        <v>120</v>
      </c>
      <c r="B91" s="11">
        <v>24</v>
      </c>
      <c r="C91" s="9">
        <v>4.1154251051031041</v>
      </c>
      <c r="D91" s="9">
        <v>5.6331843891340956</v>
      </c>
      <c r="E91" s="9">
        <v>6.7008304479984213</v>
      </c>
      <c r="F91" s="9">
        <v>8.0946530612066052</v>
      </c>
      <c r="G91" s="9">
        <v>9.1665311179602842</v>
      </c>
      <c r="H91" s="9">
        <v>10.254620066833295</v>
      </c>
      <c r="I91" s="9">
        <v>11.349767174603807</v>
      </c>
      <c r="J91" s="9">
        <v>13.285978278439373</v>
      </c>
    </row>
    <row r="92" spans="1:10" ht="15.75" thickBot="1" x14ac:dyDescent="0.3">
      <c r="A92" s="7" t="s">
        <v>121</v>
      </c>
      <c r="B92" s="8">
        <v>8.3333333333333329E-2</v>
      </c>
      <c r="C92" s="9">
        <v>37.629181193243269</v>
      </c>
      <c r="D92" s="9">
        <v>53.260625269263656</v>
      </c>
      <c r="E92" s="9">
        <v>65.10876998701707</v>
      </c>
      <c r="F92" s="9">
        <v>82.910254121832338</v>
      </c>
      <c r="G92" s="9">
        <v>97.63171843809225</v>
      </c>
      <c r="H92" s="9">
        <v>114.16646303526571</v>
      </c>
      <c r="I92" s="9">
        <v>132.909439192966</v>
      </c>
      <c r="J92" s="9">
        <v>160.96964893509602</v>
      </c>
    </row>
    <row r="93" spans="1:10" ht="15.75" thickBot="1" x14ac:dyDescent="0.3">
      <c r="A93" s="7" t="s">
        <v>122</v>
      </c>
      <c r="B93" s="8">
        <v>0.16666666666666666</v>
      </c>
      <c r="C93" s="9">
        <v>27.600160185232891</v>
      </c>
      <c r="D93" s="9">
        <v>38.420982349305696</v>
      </c>
      <c r="E93" s="9">
        <v>46.480259537713138</v>
      </c>
      <c r="F93" s="9">
        <v>58.318638090424685</v>
      </c>
      <c r="G93" s="9">
        <v>67.983407094365703</v>
      </c>
      <c r="H93" s="9">
        <v>78.669743606156857</v>
      </c>
      <c r="I93" s="9">
        <v>90.600902715202253</v>
      </c>
      <c r="J93" s="9">
        <v>108.1824549580743</v>
      </c>
    </row>
    <row r="94" spans="1:10" ht="15.75" thickBot="1" x14ac:dyDescent="0.3">
      <c r="A94" s="7" t="s">
        <v>123</v>
      </c>
      <c r="B94" s="8">
        <v>0.25</v>
      </c>
      <c r="C94" s="9">
        <v>23.023319939815487</v>
      </c>
      <c r="D94" s="9">
        <v>31.739397098869208</v>
      </c>
      <c r="E94" s="9">
        <v>38.163397383779937</v>
      </c>
      <c r="F94" s="9">
        <v>47.470585976564848</v>
      </c>
      <c r="G94" s="9">
        <v>55.011544237763516</v>
      </c>
      <c r="H94" s="9">
        <v>63.270501189241422</v>
      </c>
      <c r="I94" s="9">
        <v>72.40709682549307</v>
      </c>
      <c r="J94" s="9">
        <v>85.743224806911499</v>
      </c>
    </row>
    <row r="95" spans="1:10" ht="15.75" thickBot="1" x14ac:dyDescent="0.3">
      <c r="A95" s="7" t="s">
        <v>124</v>
      </c>
      <c r="B95" s="8">
        <v>0.5</v>
      </c>
      <c r="C95" s="9">
        <v>16.88708864196267</v>
      </c>
      <c r="D95" s="9">
        <v>22.896066457128128</v>
      </c>
      <c r="E95" s="9">
        <v>27.244326925430872</v>
      </c>
      <c r="F95" s="9">
        <v>33.390561310300953</v>
      </c>
      <c r="G95" s="9">
        <v>38.305913965623965</v>
      </c>
      <c r="H95" s="9">
        <v>43.598391104164598</v>
      </c>
      <c r="I95" s="9">
        <v>49.35803186899544</v>
      </c>
      <c r="J95" s="9">
        <v>57.625226972905011</v>
      </c>
    </row>
    <row r="96" spans="1:10" ht="15.75" thickBot="1" x14ac:dyDescent="0.3">
      <c r="A96" s="7" t="s">
        <v>125</v>
      </c>
      <c r="B96" s="8">
        <v>1</v>
      </c>
      <c r="C96" s="9">
        <v>12.386300652858413</v>
      </c>
      <c r="D96" s="9">
        <v>16.516692411523618</v>
      </c>
      <c r="E96" s="9">
        <v>19.449352010133858</v>
      </c>
      <c r="F96" s="9">
        <v>23.486745774896949</v>
      </c>
      <c r="G96" s="9">
        <v>26.673365837538242</v>
      </c>
      <c r="H96" s="9">
        <v>30.042747744108535</v>
      </c>
      <c r="I96" s="9">
        <v>33.646084662836913</v>
      </c>
      <c r="J96" s="9">
        <v>38.728037010000001</v>
      </c>
    </row>
    <row r="97" spans="1:10" ht="15.75" thickBot="1" x14ac:dyDescent="0.3">
      <c r="A97" s="7" t="s">
        <v>126</v>
      </c>
      <c r="B97" s="8">
        <v>2</v>
      </c>
      <c r="C97" s="9">
        <v>9.0850736391450422</v>
      </c>
      <c r="D97" s="9">
        <v>11.9147596259685</v>
      </c>
      <c r="E97" s="9">
        <v>13.884626133340067</v>
      </c>
      <c r="F97" s="9">
        <v>16.52045384826949</v>
      </c>
      <c r="G97" s="9">
        <v>18.573331672535726</v>
      </c>
      <c r="H97" s="9">
        <v>20.701834842018368</v>
      </c>
      <c r="I97" s="9">
        <v>22.935659512183655</v>
      </c>
      <c r="J97" s="9">
        <v>26.027851505958566</v>
      </c>
    </row>
    <row r="98" spans="1:10" ht="15.75" thickBot="1" x14ac:dyDescent="0.3">
      <c r="A98" s="7" t="s">
        <v>127</v>
      </c>
      <c r="B98" s="8">
        <v>6</v>
      </c>
      <c r="C98" s="9">
        <v>5.5586794726316979</v>
      </c>
      <c r="D98" s="9">
        <v>7.1003163255093504</v>
      </c>
      <c r="E98" s="9">
        <v>8.1384505460252736</v>
      </c>
      <c r="F98" s="9">
        <v>9.4588496089247869</v>
      </c>
      <c r="G98" s="9">
        <v>10.465324930178689</v>
      </c>
      <c r="H98" s="9">
        <v>11.472856661827249</v>
      </c>
      <c r="I98" s="9">
        <v>12.49500809828948</v>
      </c>
      <c r="J98" s="9">
        <v>13.864178357102315</v>
      </c>
    </row>
    <row r="99" spans="1:10" ht="15.75" thickBot="1" x14ac:dyDescent="0.3">
      <c r="A99" s="7" t="s">
        <v>128</v>
      </c>
      <c r="B99" s="8">
        <v>12</v>
      </c>
      <c r="C99" s="9">
        <v>4.0771666828229858</v>
      </c>
      <c r="D99" s="9">
        <v>5.1220038600319162</v>
      </c>
      <c r="E99" s="9">
        <v>5.8099284272998526</v>
      </c>
      <c r="F99" s="9">
        <v>6.6533052266858563</v>
      </c>
      <c r="G99" s="9">
        <v>7.2872674627179732</v>
      </c>
      <c r="H99" s="9">
        <v>7.9057077535750411</v>
      </c>
      <c r="I99" s="9">
        <v>8.5175215546218439</v>
      </c>
      <c r="J99" s="9">
        <v>9.3176624324544761</v>
      </c>
    </row>
    <row r="100" spans="1:10" ht="15.75" thickBot="1" x14ac:dyDescent="0.3">
      <c r="A100" s="10" t="s">
        <v>129</v>
      </c>
      <c r="B100" s="11">
        <v>24</v>
      </c>
      <c r="C100" s="9">
        <v>2.990510289605107</v>
      </c>
      <c r="D100" s="9">
        <v>3.6948950355813692</v>
      </c>
      <c r="E100" s="9">
        <v>4.1476283648160308</v>
      </c>
      <c r="F100" s="9">
        <v>4.6799000163485243</v>
      </c>
      <c r="G100" s="9">
        <v>5.0743065721783873</v>
      </c>
      <c r="H100" s="9">
        <v>5.4476593691690276</v>
      </c>
      <c r="I100" s="9">
        <v>5.8061725821033541</v>
      </c>
      <c r="J100" s="9">
        <v>6.2620972530044003</v>
      </c>
    </row>
    <row r="101" spans="1:10" ht="15.75" thickBot="1" x14ac:dyDescent="0.3">
      <c r="A101" s="7" t="s">
        <v>130</v>
      </c>
      <c r="B101" s="8">
        <v>8.3333333333333329E-2</v>
      </c>
      <c r="C101" s="9">
        <v>42.67609149549007</v>
      </c>
      <c r="D101" s="9">
        <v>61.801690932565656</v>
      </c>
      <c r="E101" s="9">
        <v>77.011150687757308</v>
      </c>
      <c r="F101" s="9">
        <v>99.636453255388801</v>
      </c>
      <c r="G101" s="9">
        <v>118.19024859256868</v>
      </c>
      <c r="H101" s="9">
        <v>139.56602077039548</v>
      </c>
      <c r="I101" s="9">
        <v>163.18331601532654</v>
      </c>
      <c r="J101" s="9">
        <v>206.68596337786394</v>
      </c>
    </row>
    <row r="102" spans="1:10" ht="15.75" thickBot="1" x14ac:dyDescent="0.3">
      <c r="A102" s="7" t="s">
        <v>131</v>
      </c>
      <c r="B102" s="8">
        <v>0.16666666666666666</v>
      </c>
      <c r="C102" s="9">
        <v>31.357723611564843</v>
      </c>
      <c r="D102" s="9">
        <v>44.659734614777733</v>
      </c>
      <c r="E102" s="9">
        <v>55.051175080061419</v>
      </c>
      <c r="F102" s="9">
        <v>70.182960377323354</v>
      </c>
      <c r="G102" s="9">
        <v>82.449025188230067</v>
      </c>
      <c r="H102" s="9">
        <v>96.307907835962524</v>
      </c>
      <c r="I102" s="9">
        <v>111.4395742080859</v>
      </c>
      <c r="J102" s="9">
        <v>139.9043106468456</v>
      </c>
    </row>
    <row r="103" spans="1:10" ht="15.75" thickBot="1" x14ac:dyDescent="0.3">
      <c r="A103" s="7" t="s">
        <v>132</v>
      </c>
      <c r="B103" s="8">
        <v>0.25</v>
      </c>
      <c r="C103" s="9">
        <v>26.185030413095767</v>
      </c>
      <c r="D103" s="9">
        <v>36.930667723117793</v>
      </c>
      <c r="E103" s="9">
        <v>45.236256116636369</v>
      </c>
      <c r="F103" s="9">
        <v>57.175272459897592</v>
      </c>
      <c r="G103" s="9">
        <v>66.788187741883618</v>
      </c>
      <c r="H103" s="9">
        <v>77.520061359338101</v>
      </c>
      <c r="I103" s="9">
        <v>89.155556242822271</v>
      </c>
      <c r="J103" s="9">
        <v>111.35038348693145</v>
      </c>
    </row>
    <row r="104" spans="1:10" ht="15.75" thickBot="1" x14ac:dyDescent="0.3">
      <c r="A104" s="7" t="s">
        <v>133</v>
      </c>
      <c r="B104" s="8">
        <v>0.5</v>
      </c>
      <c r="C104" s="9">
        <v>19.240350221412601</v>
      </c>
      <c r="D104" s="9">
        <v>26.687195686289748</v>
      </c>
      <c r="E104" s="9">
        <v>32.336993191290411</v>
      </c>
      <c r="F104" s="9">
        <v>40.273712587201437</v>
      </c>
      <c r="G104" s="9">
        <v>46.591161614267349</v>
      </c>
      <c r="H104" s="9">
        <v>53.492926742645423</v>
      </c>
      <c r="I104" s="9">
        <v>60.885251437420308</v>
      </c>
      <c r="J104" s="9">
        <v>75.372310665918661</v>
      </c>
    </row>
    <row r="105" spans="1:10" ht="15.75" thickBot="1" x14ac:dyDescent="0.3">
      <c r="A105" s="7" t="s">
        <v>134</v>
      </c>
      <c r="B105" s="8">
        <v>1</v>
      </c>
      <c r="C105" s="9">
        <v>14.137507988437184</v>
      </c>
      <c r="D105" s="9">
        <v>19.284959019370678</v>
      </c>
      <c r="E105" s="9">
        <v>23.115996291943276</v>
      </c>
      <c r="F105" s="9">
        <v>28.368416201149707</v>
      </c>
      <c r="G105" s="9">
        <v>32.501800302712603</v>
      </c>
      <c r="H105" s="9">
        <v>36.91293790687039</v>
      </c>
      <c r="I105" s="9">
        <v>41.579167904034406</v>
      </c>
      <c r="J105" s="9">
        <v>51.018999999999998</v>
      </c>
    </row>
    <row r="106" spans="1:10" ht="15.75" thickBot="1" x14ac:dyDescent="0.3">
      <c r="A106" s="7" t="s">
        <v>135</v>
      </c>
      <c r="B106" s="8">
        <v>2</v>
      </c>
      <c r="C106" s="9">
        <v>10.388019439515746</v>
      </c>
      <c r="D106" s="9">
        <v>13.935883288399275</v>
      </c>
      <c r="E106" s="9">
        <v>16.524396112160975</v>
      </c>
      <c r="F106" s="9">
        <v>19.982439811555878</v>
      </c>
      <c r="G106" s="9">
        <v>22.673120530094785</v>
      </c>
      <c r="H106" s="9">
        <v>25.471872037807387</v>
      </c>
      <c r="I106" s="9">
        <v>28.394843788545835</v>
      </c>
      <c r="J106" s="9">
        <v>34.534411085488706</v>
      </c>
    </row>
    <row r="107" spans="1:10" ht="15.75" thickBot="1" x14ac:dyDescent="0.3">
      <c r="A107" s="7" t="s">
        <v>136</v>
      </c>
      <c r="B107" s="8">
        <v>6</v>
      </c>
      <c r="C107" s="9">
        <v>6.3738406077861045</v>
      </c>
      <c r="D107" s="9">
        <v>8.3276277296941892</v>
      </c>
      <c r="E107" s="9">
        <v>9.706410150047228</v>
      </c>
      <c r="F107" s="9">
        <v>11.466701225411397</v>
      </c>
      <c r="G107" s="9">
        <v>12.81236522209616</v>
      </c>
      <c r="H107" s="9">
        <v>14.148007318747617</v>
      </c>
      <c r="I107" s="9">
        <v>15.513584073497327</v>
      </c>
      <c r="J107" s="9">
        <v>18.605133386993945</v>
      </c>
    </row>
    <row r="108" spans="1:10" ht="15.75" thickBot="1" x14ac:dyDescent="0.3">
      <c r="A108" s="7" t="s">
        <v>137</v>
      </c>
      <c r="B108" s="8">
        <v>12</v>
      </c>
      <c r="C108" s="9">
        <v>4.6833982475702349</v>
      </c>
      <c r="D108" s="9">
        <v>6.0177907556706209</v>
      </c>
      <c r="E108" s="9">
        <v>6.9385962915378485</v>
      </c>
      <c r="F108" s="9">
        <v>8.0770341724114676</v>
      </c>
      <c r="G108" s="9">
        <v>8.9378526189497247</v>
      </c>
      <c r="H108" s="9">
        <v>9.7628704852026136</v>
      </c>
      <c r="I108" s="9">
        <v>10.594387010921569</v>
      </c>
      <c r="J108" s="9">
        <v>12.593687149626604</v>
      </c>
    </row>
    <row r="109" spans="1:10" ht="15.75" thickBot="1" x14ac:dyDescent="0.3">
      <c r="A109" s="10" t="s">
        <v>138</v>
      </c>
      <c r="B109" s="11">
        <v>24</v>
      </c>
      <c r="C109" s="9">
        <v>3.4412876780366495</v>
      </c>
      <c r="D109" s="9">
        <v>4.3486340593619026</v>
      </c>
      <c r="E109" s="9">
        <v>4.9600333957357563</v>
      </c>
      <c r="F109" s="9">
        <v>5.6893852678159407</v>
      </c>
      <c r="G109" s="9">
        <v>6.2350087632763325</v>
      </c>
      <c r="H109" s="9">
        <v>6.736895024399626</v>
      </c>
      <c r="I109" s="9">
        <v>7.235016460762985</v>
      </c>
      <c r="J109" s="9">
        <v>8.5245804329218835</v>
      </c>
    </row>
    <row r="110" spans="1:10" ht="15.75" thickBot="1" x14ac:dyDescent="0.3">
      <c r="A110" s="7" t="s">
        <v>139</v>
      </c>
      <c r="B110" s="8">
        <v>8.3333333333333329E-2</v>
      </c>
      <c r="C110" s="9">
        <v>49.440608028892804</v>
      </c>
      <c r="D110" s="9">
        <v>72.335330337051374</v>
      </c>
      <c r="E110" s="9">
        <v>90.203496939591858</v>
      </c>
      <c r="F110" s="9">
        <v>117.31063028959511</v>
      </c>
      <c r="G110" s="9">
        <v>139.86688753377635</v>
      </c>
      <c r="H110" s="9">
        <v>164.86301296507912</v>
      </c>
      <c r="I110" s="9">
        <v>193.42769517939715</v>
      </c>
      <c r="J110" s="9">
        <v>246.82077274661867</v>
      </c>
    </row>
    <row r="111" spans="1:10" ht="15.75" thickBot="1" x14ac:dyDescent="0.3">
      <c r="A111" s="7" t="s">
        <v>140</v>
      </c>
      <c r="B111" s="8">
        <v>0.16666666666666666</v>
      </c>
      <c r="C111" s="9">
        <v>36.38364538291826</v>
      </c>
      <c r="D111" s="9">
        <v>52.291945531313004</v>
      </c>
      <c r="E111" s="9">
        <v>64.520271336546017</v>
      </c>
      <c r="F111" s="9">
        <v>82.678664513930059</v>
      </c>
      <c r="G111" s="9">
        <v>97.564231763607779</v>
      </c>
      <c r="H111" s="9">
        <v>113.8459610854427</v>
      </c>
      <c r="I111" s="9">
        <v>132.13948456214439</v>
      </c>
      <c r="J111" s="9">
        <v>167.07128776474875</v>
      </c>
    </row>
    <row r="112" spans="1:10" ht="15.75" thickBot="1" x14ac:dyDescent="0.3">
      <c r="A112" s="7" t="s">
        <v>141</v>
      </c>
      <c r="B112" s="8">
        <v>0.25</v>
      </c>
      <c r="C112" s="9">
        <v>30.409012160930526</v>
      </c>
      <c r="D112" s="9">
        <v>43.251823096053087</v>
      </c>
      <c r="E112" s="9">
        <v>53.035691611883557</v>
      </c>
      <c r="F112" s="9">
        <v>67.377045067918687</v>
      </c>
      <c r="G112" s="9">
        <v>79.029328235291132</v>
      </c>
      <c r="H112" s="9">
        <v>91.675308276618594</v>
      </c>
      <c r="I112" s="9">
        <v>105.73760656070171</v>
      </c>
      <c r="J112" s="9">
        <v>132.97268594689794</v>
      </c>
    </row>
    <row r="113" spans="1:10" ht="15.75" thickBot="1" x14ac:dyDescent="0.3">
      <c r="A113" s="7" t="s">
        <v>142</v>
      </c>
      <c r="B113" s="8">
        <v>0.5</v>
      </c>
      <c r="C113" s="9">
        <v>22.378177757473708</v>
      </c>
      <c r="D113" s="9">
        <v>31.267182536253685</v>
      </c>
      <c r="E113" s="9">
        <v>37.935083776316255</v>
      </c>
      <c r="F113" s="9">
        <v>47.486268647253922</v>
      </c>
      <c r="G113" s="9">
        <v>55.126955579162299</v>
      </c>
      <c r="H113" s="9">
        <v>63.306277077239848</v>
      </c>
      <c r="I113" s="9">
        <v>72.234293113027647</v>
      </c>
      <c r="J113" s="9">
        <v>90.008298861831094</v>
      </c>
    </row>
    <row r="114" spans="1:10" ht="15.75" thickBot="1" x14ac:dyDescent="0.3">
      <c r="A114" s="7" t="s">
        <v>143</v>
      </c>
      <c r="B114" s="8">
        <v>1</v>
      </c>
      <c r="C114" s="9">
        <v>16.468237675556473</v>
      </c>
      <c r="D114" s="9">
        <v>22.603364061308682</v>
      </c>
      <c r="E114" s="9">
        <v>27.134002355381458</v>
      </c>
      <c r="F114" s="9">
        <v>33.467566108993019</v>
      </c>
      <c r="G114" s="9">
        <v>38.453841115529741</v>
      </c>
      <c r="H114" s="9">
        <v>43.71607571024014</v>
      </c>
      <c r="I114" s="9">
        <v>49.346616319931279</v>
      </c>
      <c r="J114" s="9">
        <v>60.926000000000002</v>
      </c>
    </row>
    <row r="115" spans="1:10" ht="15.75" thickBot="1" x14ac:dyDescent="0.3">
      <c r="A115" s="7" t="s">
        <v>144</v>
      </c>
      <c r="B115" s="8">
        <v>2</v>
      </c>
      <c r="C115" s="9">
        <v>12.119076677190268</v>
      </c>
      <c r="D115" s="9">
        <v>16.340201624999903</v>
      </c>
      <c r="E115" s="9">
        <v>19.408263025413611</v>
      </c>
      <c r="F115" s="9">
        <v>23.587407753179843</v>
      </c>
      <c r="G115" s="9">
        <v>26.82350006459173</v>
      </c>
      <c r="H115" s="9">
        <v>30.188085032574655</v>
      </c>
      <c r="I115" s="9">
        <v>33.710976286792693</v>
      </c>
      <c r="J115" s="9">
        <v>41.240391418775062</v>
      </c>
    </row>
    <row r="116" spans="1:10" ht="15.75" thickBot="1" x14ac:dyDescent="0.3">
      <c r="A116" s="7" t="s">
        <v>145</v>
      </c>
      <c r="B116" s="8">
        <v>6</v>
      </c>
      <c r="C116" s="9">
        <v>7.4539768977064789</v>
      </c>
      <c r="D116" s="9">
        <v>9.7703778602408473</v>
      </c>
      <c r="E116" s="9">
        <v>11.411205634605142</v>
      </c>
      <c r="F116" s="9">
        <v>13.547364218384326</v>
      </c>
      <c r="G116" s="9">
        <v>15.156147594347905</v>
      </c>
      <c r="H116" s="9">
        <v>16.786676112902672</v>
      </c>
      <c r="I116" s="9">
        <v>18.428167404280288</v>
      </c>
      <c r="J116" s="9">
        <v>22.217925806777735</v>
      </c>
    </row>
    <row r="117" spans="1:10" ht="15.75" thickBot="1" x14ac:dyDescent="0.3">
      <c r="A117" s="7" t="s">
        <v>146</v>
      </c>
      <c r="B117" s="8">
        <v>12</v>
      </c>
      <c r="C117" s="9">
        <v>5.4854271205590415</v>
      </c>
      <c r="D117" s="9">
        <v>7.06310546322843</v>
      </c>
      <c r="E117" s="9">
        <v>8.1621456905923129</v>
      </c>
      <c r="F117" s="9">
        <v>9.5479666121882865</v>
      </c>
      <c r="G117" s="9">
        <v>10.572179896269704</v>
      </c>
      <c r="H117" s="9">
        <v>11.592019587245149</v>
      </c>
      <c r="I117" s="9">
        <v>12.589141073971089</v>
      </c>
      <c r="J117" s="9">
        <v>15.039161553110615</v>
      </c>
    </row>
    <row r="118" spans="1:10" ht="15.75" thickBot="1" x14ac:dyDescent="0.3">
      <c r="A118" s="10" t="s">
        <v>147</v>
      </c>
      <c r="B118" s="11">
        <v>24</v>
      </c>
      <c r="C118" s="9">
        <v>4.0367593175963625</v>
      </c>
      <c r="D118" s="9">
        <v>5.1059907301740273</v>
      </c>
      <c r="E118" s="9">
        <v>5.8381755975392968</v>
      </c>
      <c r="F118" s="9">
        <v>6.7292548541471611</v>
      </c>
      <c r="G118" s="9">
        <v>7.3746304635335802</v>
      </c>
      <c r="H118" s="9">
        <v>8.0048555894749889</v>
      </c>
      <c r="I118" s="9">
        <v>8.6002297191816499</v>
      </c>
      <c r="J118" s="9">
        <v>10.17990527952721</v>
      </c>
    </row>
    <row r="119" spans="1:10" ht="15.75" thickBot="1" x14ac:dyDescent="0.3">
      <c r="A119" s="7" t="s">
        <v>148</v>
      </c>
      <c r="B119" s="8">
        <v>8.3333333333333329E-2</v>
      </c>
      <c r="C119" s="9">
        <v>49.596042884322785</v>
      </c>
      <c r="D119" s="9">
        <v>72.285732099542386</v>
      </c>
      <c r="E119" s="9">
        <v>88.280570480564009</v>
      </c>
      <c r="F119" s="9">
        <v>114.60506088279833</v>
      </c>
      <c r="G119" s="9">
        <v>135.6819668443961</v>
      </c>
      <c r="H119" s="9">
        <v>158.84026928869685</v>
      </c>
      <c r="I119" s="9">
        <v>184.53096611510347</v>
      </c>
      <c r="J119" s="9">
        <v>230.32958410367215</v>
      </c>
    </row>
    <row r="120" spans="1:10" ht="15.75" thickBot="1" x14ac:dyDescent="0.3">
      <c r="A120" s="7" t="s">
        <v>149</v>
      </c>
      <c r="B120" s="8">
        <v>0.16666666666666666</v>
      </c>
      <c r="C120" s="9">
        <v>36.551641538544807</v>
      </c>
      <c r="D120" s="9">
        <v>52.326764134252322</v>
      </c>
      <c r="E120" s="9">
        <v>63.20802301389152</v>
      </c>
      <c r="F120" s="9">
        <v>80.716133092718266</v>
      </c>
      <c r="G120" s="9">
        <v>94.608943743878314</v>
      </c>
      <c r="H120" s="9">
        <v>109.61089497003179</v>
      </c>
      <c r="I120" s="9">
        <v>125.98034405617966</v>
      </c>
      <c r="J120" s="9">
        <v>155.58464951296628</v>
      </c>
    </row>
    <row r="121" spans="1:10" ht="15.75" thickBot="1" x14ac:dyDescent="0.3">
      <c r="A121" s="7" t="s">
        <v>150</v>
      </c>
      <c r="B121" s="8">
        <v>0.25</v>
      </c>
      <c r="C121" s="9">
        <v>30.575662342831315</v>
      </c>
      <c r="D121" s="9">
        <v>43.314853399077037</v>
      </c>
      <c r="E121" s="9">
        <v>51.987422652306279</v>
      </c>
      <c r="F121" s="9">
        <v>65.751193349820852</v>
      </c>
      <c r="G121" s="9">
        <v>76.61837784850745</v>
      </c>
      <c r="H121" s="9">
        <v>88.2291781834424</v>
      </c>
      <c r="I121" s="9">
        <v>100.77101291044504</v>
      </c>
      <c r="J121" s="9">
        <v>123.67989083188509</v>
      </c>
    </row>
    <row r="122" spans="1:10" ht="15.75" thickBot="1" x14ac:dyDescent="0.3">
      <c r="A122" s="7" t="s">
        <v>151</v>
      </c>
      <c r="B122" s="8">
        <v>0.5</v>
      </c>
      <c r="C122" s="9">
        <v>22.533867316096341</v>
      </c>
      <c r="D122" s="9">
        <v>31.355096662811139</v>
      </c>
      <c r="E122" s="9">
        <v>37.222484965288444</v>
      </c>
      <c r="F122" s="9">
        <v>46.308444256721096</v>
      </c>
      <c r="G122" s="9">
        <v>53.424813688983157</v>
      </c>
      <c r="H122" s="9">
        <v>60.884303624419196</v>
      </c>
      <c r="I122" s="9">
        <v>68.796945816827403</v>
      </c>
      <c r="J122" s="9">
        <v>83.54416364603675</v>
      </c>
    </row>
    <row r="123" spans="1:10" ht="15.75" thickBot="1" x14ac:dyDescent="0.3">
      <c r="A123" s="7" t="s">
        <v>152</v>
      </c>
      <c r="B123" s="8">
        <v>1</v>
      </c>
      <c r="C123" s="9">
        <v>16.607168489957058</v>
      </c>
      <c r="D123" s="9">
        <v>22.697573917107601</v>
      </c>
      <c r="E123" s="9">
        <v>26.650934328048667</v>
      </c>
      <c r="F123" s="9">
        <v>32.614951915297638</v>
      </c>
      <c r="G123" s="9">
        <v>37.252298963389812</v>
      </c>
      <c r="H123" s="9">
        <v>42.014427700133815</v>
      </c>
      <c r="I123" s="9">
        <v>46.968067671699501</v>
      </c>
      <c r="J123" s="9">
        <v>56.433</v>
      </c>
    </row>
    <row r="124" spans="1:10" ht="15.75" thickBot="1" x14ac:dyDescent="0.3">
      <c r="A124" s="7" t="s">
        <v>153</v>
      </c>
      <c r="B124" s="8">
        <v>2</v>
      </c>
      <c r="C124" s="9">
        <v>12.239268181756586</v>
      </c>
      <c r="D124" s="9">
        <v>16.430498277927324</v>
      </c>
      <c r="E124" s="9">
        <v>19.081807708978111</v>
      </c>
      <c r="F124" s="9">
        <v>22.970650504692546</v>
      </c>
      <c r="G124" s="9">
        <v>25.975453768291587</v>
      </c>
      <c r="H124" s="9">
        <v>28.992893568413724</v>
      </c>
      <c r="I124" s="9">
        <v>32.065367940705393</v>
      </c>
      <c r="J124" s="9">
        <v>38.119760256299813</v>
      </c>
    </row>
    <row r="125" spans="1:10" ht="15.75" thickBot="1" x14ac:dyDescent="0.3">
      <c r="A125" s="7" t="s">
        <v>154</v>
      </c>
      <c r="B125" s="8">
        <v>6</v>
      </c>
      <c r="C125" s="9">
        <v>7.5454352703416951</v>
      </c>
      <c r="D125" s="9">
        <v>9.8454370386976446</v>
      </c>
      <c r="E125" s="9">
        <v>11.237059263851096</v>
      </c>
      <c r="F125" s="9">
        <v>13.178717161973916</v>
      </c>
      <c r="G125" s="9">
        <v>14.668103491511259</v>
      </c>
      <c r="H125" s="9">
        <v>16.104349257000319</v>
      </c>
      <c r="I125" s="9">
        <v>17.510663249416119</v>
      </c>
      <c r="J125" s="9">
        <v>20.469136890876833</v>
      </c>
    </row>
    <row r="126" spans="1:10" ht="15.75" thickBot="1" x14ac:dyDescent="0.3">
      <c r="A126" s="7" t="s">
        <v>155</v>
      </c>
      <c r="B126" s="8">
        <v>12</v>
      </c>
      <c r="C126" s="9">
        <v>5.5608881115191116</v>
      </c>
      <c r="D126" s="9">
        <v>7.126992378151825</v>
      </c>
      <c r="E126" s="9">
        <v>8.0456242714736153</v>
      </c>
      <c r="F126" s="9">
        <v>9.2817462007634486</v>
      </c>
      <c r="G126" s="9">
        <v>10.227842434280644</v>
      </c>
      <c r="H126" s="9">
        <v>11.113127312579953</v>
      </c>
      <c r="I126" s="9">
        <v>11.954629768953383</v>
      </c>
      <c r="J126" s="9">
        <v>13.826636736193485</v>
      </c>
    </row>
    <row r="127" spans="1:10" ht="15.75" thickBot="1" x14ac:dyDescent="0.3">
      <c r="A127" s="10" t="s">
        <v>156</v>
      </c>
      <c r="B127" s="11">
        <v>24</v>
      </c>
      <c r="C127" s="9">
        <v>4.0983025472875374</v>
      </c>
      <c r="D127" s="9">
        <v>5.1591432821709695</v>
      </c>
      <c r="E127" s="9">
        <v>5.7605881038613269</v>
      </c>
      <c r="F127" s="9">
        <v>6.53711673727756</v>
      </c>
      <c r="G127" s="9">
        <v>7.1317168522168588</v>
      </c>
      <c r="H127" s="9">
        <v>7.6688350888767669</v>
      </c>
      <c r="I127" s="9">
        <v>8.1614939923827112</v>
      </c>
      <c r="J127" s="9">
        <v>9.3397139534429012</v>
      </c>
    </row>
    <row r="128" spans="1:10" ht="15.75" thickBot="1" x14ac:dyDescent="0.3">
      <c r="A128" s="7" t="s">
        <v>157</v>
      </c>
      <c r="B128" s="8">
        <v>8.3333333333333329E-2</v>
      </c>
      <c r="C128" s="9">
        <v>55.735585673841328</v>
      </c>
      <c r="D128" s="9">
        <v>84.303453103631483</v>
      </c>
      <c r="E128" s="9">
        <v>107.56742844990667</v>
      </c>
      <c r="F128" s="9">
        <v>141.84189865488167</v>
      </c>
      <c r="G128" s="9">
        <v>170.2765961958803</v>
      </c>
      <c r="H128" s="9">
        <v>202.00317270327307</v>
      </c>
      <c r="I128" s="9">
        <v>238.30563002560231</v>
      </c>
      <c r="J128" s="9">
        <v>307.85522536491305</v>
      </c>
    </row>
    <row r="129" spans="1:10" ht="15.75" thickBot="1" x14ac:dyDescent="0.3">
      <c r="A129" s="7" t="s">
        <v>158</v>
      </c>
      <c r="B129" s="8">
        <v>0.16666666666666666</v>
      </c>
      <c r="C129" s="9">
        <v>41.046089174472897</v>
      </c>
      <c r="D129" s="9">
        <v>61.024789511915245</v>
      </c>
      <c r="E129" s="9">
        <v>76.988121917994363</v>
      </c>
      <c r="F129" s="9">
        <v>100.01561942185144</v>
      </c>
      <c r="G129" s="9">
        <v>118.862277727148</v>
      </c>
      <c r="H129" s="9">
        <v>139.57405052913714</v>
      </c>
      <c r="I129" s="9">
        <v>162.88066813393709</v>
      </c>
      <c r="J129" s="9">
        <v>208.52958162561734</v>
      </c>
    </row>
    <row r="130" spans="1:10" ht="15.75" thickBot="1" x14ac:dyDescent="0.3">
      <c r="A130" s="7" t="s">
        <v>159</v>
      </c>
      <c r="B130" s="8">
        <v>0.25</v>
      </c>
      <c r="C130" s="9">
        <v>34.320468482198493</v>
      </c>
      <c r="D130" s="9">
        <v>50.514166871725159</v>
      </c>
      <c r="E130" s="9">
        <v>63.307300018683435</v>
      </c>
      <c r="F130" s="9">
        <v>81.528142078150125</v>
      </c>
      <c r="G130" s="9">
        <v>96.32189516809548</v>
      </c>
      <c r="H130" s="9">
        <v>112.43121408257394</v>
      </c>
      <c r="I130" s="9">
        <v>130.37546021463132</v>
      </c>
      <c r="J130" s="9">
        <v>166.03681132104711</v>
      </c>
    </row>
    <row r="131" spans="1:10" ht="15.75" thickBot="1" x14ac:dyDescent="0.3">
      <c r="A131" s="7" t="s">
        <v>160</v>
      </c>
      <c r="B131" s="8">
        <v>0.5</v>
      </c>
      <c r="C131" s="9">
        <v>25.275073237297455</v>
      </c>
      <c r="D131" s="9">
        <v>36.56571928231017</v>
      </c>
      <c r="E131" s="9">
        <v>45.310278421382833</v>
      </c>
      <c r="F131" s="9">
        <v>57.487157938422477</v>
      </c>
      <c r="G131" s="9">
        <v>67.237894757449951</v>
      </c>
      <c r="H131" s="9">
        <v>77.684324188632644</v>
      </c>
      <c r="I131" s="9">
        <v>89.110954137958231</v>
      </c>
      <c r="J131" s="9">
        <v>112.46710773932389</v>
      </c>
    </row>
    <row r="132" spans="1:10" ht="15.75" thickBot="1" x14ac:dyDescent="0.3">
      <c r="A132" s="7" t="s">
        <v>161</v>
      </c>
      <c r="B132" s="8">
        <v>1</v>
      </c>
      <c r="C132" s="9">
        <v>18.613654049684698</v>
      </c>
      <c r="D132" s="9">
        <v>26.468848432717849</v>
      </c>
      <c r="E132" s="9">
        <v>32.429456476857119</v>
      </c>
      <c r="F132" s="9">
        <v>40.535369059057984</v>
      </c>
      <c r="G132" s="9">
        <v>46.935688749938286</v>
      </c>
      <c r="H132" s="9">
        <v>53.675967780729813</v>
      </c>
      <c r="I132" s="9">
        <v>60.906877216807288</v>
      </c>
      <c r="J132" s="9">
        <v>76.180999999999997</v>
      </c>
    </row>
    <row r="133" spans="1:10" ht="15.75" thickBot="1" x14ac:dyDescent="0.3">
      <c r="A133" s="7" t="s">
        <v>162</v>
      </c>
      <c r="B133" s="8">
        <v>2</v>
      </c>
      <c r="C133" s="9">
        <v>13.707897651907645</v>
      </c>
      <c r="D133" s="9">
        <v>19.160020672508075</v>
      </c>
      <c r="E133" s="9">
        <v>23.210399141755577</v>
      </c>
      <c r="F133" s="9">
        <v>28.582316532573479</v>
      </c>
      <c r="G133" s="9">
        <v>32.763650414366914</v>
      </c>
      <c r="H133" s="9">
        <v>37.087398870871951</v>
      </c>
      <c r="I133" s="9">
        <v>41.629536213472726</v>
      </c>
      <c r="J133" s="9">
        <v>51.602151754906401</v>
      </c>
    </row>
    <row r="134" spans="1:10" ht="15.75" thickBot="1" x14ac:dyDescent="0.3">
      <c r="A134" s="7" t="s">
        <v>163</v>
      </c>
      <c r="B134" s="8">
        <v>6</v>
      </c>
      <c r="C134" s="9">
        <v>8.4409531833502083</v>
      </c>
      <c r="D134" s="9">
        <v>11.480579334360446</v>
      </c>
      <c r="E134" s="9">
        <v>13.660154595076104</v>
      </c>
      <c r="F134" s="9">
        <v>16.428595395921199</v>
      </c>
      <c r="G134" s="9">
        <v>18.533709100611745</v>
      </c>
      <c r="H134" s="9">
        <v>20.642157380081848</v>
      </c>
      <c r="I134" s="9">
        <v>22.775248498199847</v>
      </c>
      <c r="J134" s="9">
        <v>27.830798468772493</v>
      </c>
    </row>
    <row r="135" spans="1:10" ht="15.75" thickBot="1" x14ac:dyDescent="0.3">
      <c r="A135" s="7" t="s">
        <v>164</v>
      </c>
      <c r="B135" s="8">
        <v>12</v>
      </c>
      <c r="C135" s="9">
        <v>6.2162819838090142</v>
      </c>
      <c r="D135" s="9">
        <v>8.3104536239217346</v>
      </c>
      <c r="E135" s="9">
        <v>9.7768410246427404</v>
      </c>
      <c r="F135" s="9">
        <v>11.5841381167065</v>
      </c>
      <c r="G135" s="9">
        <v>12.937531802062075</v>
      </c>
      <c r="H135" s="9">
        <v>14.262694385647452</v>
      </c>
      <c r="I135" s="9">
        <v>15.566764796554297</v>
      </c>
      <c r="J135" s="9">
        <v>18.851538914503813</v>
      </c>
    </row>
    <row r="136" spans="1:10" ht="15.75" thickBot="1" x14ac:dyDescent="0.3">
      <c r="A136" s="10" t="s">
        <v>165</v>
      </c>
      <c r="B136" s="11">
        <v>24</v>
      </c>
      <c r="C136" s="9">
        <v>4.5779381620609216</v>
      </c>
      <c r="D136" s="9">
        <v>6.0156928865647021</v>
      </c>
      <c r="E136" s="9">
        <v>6.9974772068532909</v>
      </c>
      <c r="F136" s="9">
        <v>8.1682123561366016</v>
      </c>
      <c r="G136" s="9">
        <v>9.0310972412879202</v>
      </c>
      <c r="H136" s="9">
        <v>9.8548057449977993</v>
      </c>
      <c r="I136" s="9">
        <v>10.639803392283314</v>
      </c>
      <c r="J136" s="9">
        <v>12.769325315757854</v>
      </c>
    </row>
    <row r="137" spans="1:10" ht="15.75" thickBot="1" x14ac:dyDescent="0.3">
      <c r="A137" s="10" t="s">
        <v>180</v>
      </c>
      <c r="B137" s="11">
        <v>8.3333333333333329E-2</v>
      </c>
      <c r="C137" s="9">
        <v>54.267284273197568</v>
      </c>
      <c r="D137" s="9">
        <v>76.942416852411867</v>
      </c>
      <c r="E137" s="9">
        <v>91.953149508500005</v>
      </c>
      <c r="F137" s="9">
        <v>111.1515124836595</v>
      </c>
      <c r="G137" s="9">
        <v>125.18074184864453</v>
      </c>
      <c r="H137" s="9">
        <v>139.11523174370672</v>
      </c>
      <c r="I137" s="9">
        <v>9999</v>
      </c>
      <c r="J137" s="9">
        <v>9999</v>
      </c>
    </row>
    <row r="138" spans="1:10" ht="15.75" thickBot="1" x14ac:dyDescent="0.3">
      <c r="A138" s="10" t="s">
        <v>181</v>
      </c>
      <c r="B138" s="11">
        <v>0.16666666666666666</v>
      </c>
      <c r="C138" s="9">
        <v>38.002194003104826</v>
      </c>
      <c r="D138" s="9">
        <v>52.992167831092722</v>
      </c>
      <c r="E138" s="9">
        <v>62.892979758850572</v>
      </c>
      <c r="F138" s="9">
        <v>75.498902607961114</v>
      </c>
      <c r="G138" s="9">
        <v>84.733985358151457</v>
      </c>
      <c r="H138" s="9">
        <v>93.905423581578802</v>
      </c>
      <c r="I138" s="9">
        <v>9999</v>
      </c>
      <c r="J138" s="9">
        <v>9999</v>
      </c>
    </row>
    <row r="139" spans="1:10" ht="15.75" thickBot="1" x14ac:dyDescent="0.3">
      <c r="A139" s="10" t="s">
        <v>182</v>
      </c>
      <c r="B139" s="11">
        <v>0.25</v>
      </c>
      <c r="C139" s="9">
        <v>30.853025887525249</v>
      </c>
      <c r="D139" s="9">
        <v>42.606375329411627</v>
      </c>
      <c r="E139" s="9">
        <v>50.362138305862693</v>
      </c>
      <c r="F139" s="9">
        <v>60.211814717895997</v>
      </c>
      <c r="G139" s="9">
        <v>67.440107601994981</v>
      </c>
      <c r="H139" s="9">
        <v>74.618571755388501</v>
      </c>
      <c r="I139" s="9">
        <v>9999</v>
      </c>
      <c r="J139" s="9">
        <v>9999</v>
      </c>
    </row>
    <row r="140" spans="1:10" ht="15.75" thickBot="1" x14ac:dyDescent="0.3">
      <c r="A140" s="10" t="s">
        <v>183</v>
      </c>
      <c r="B140" s="11">
        <v>0.5</v>
      </c>
      <c r="C140" s="9">
        <v>21.605700212635021</v>
      </c>
      <c r="D140" s="9">
        <v>29.344076836857706</v>
      </c>
      <c r="E140" s="9">
        <v>34.44607348430479</v>
      </c>
      <c r="F140" s="9">
        <v>40.898462231031999</v>
      </c>
      <c r="G140" s="9">
        <v>45.649746164701121</v>
      </c>
      <c r="H140" s="9">
        <v>50.368953132690869</v>
      </c>
      <c r="I140" s="9">
        <v>9999</v>
      </c>
      <c r="J140" s="9">
        <v>9999</v>
      </c>
    </row>
    <row r="141" spans="1:10" ht="15.75" thickBot="1" x14ac:dyDescent="0.3">
      <c r="A141" s="10" t="s">
        <v>184</v>
      </c>
      <c r="B141" s="11">
        <v>1</v>
      </c>
      <c r="C141" s="9">
        <v>15.13</v>
      </c>
      <c r="D141" s="9">
        <v>20.21</v>
      </c>
      <c r="E141" s="9">
        <v>23.56</v>
      </c>
      <c r="F141" s="9">
        <v>27.78</v>
      </c>
      <c r="G141" s="9">
        <v>30.9</v>
      </c>
      <c r="H141" s="9">
        <v>34</v>
      </c>
      <c r="I141" s="9">
        <v>9999</v>
      </c>
      <c r="J141" s="9">
        <v>9999</v>
      </c>
    </row>
    <row r="142" spans="1:10" ht="15.75" thickBot="1" x14ac:dyDescent="0.3">
      <c r="A142" s="10" t="s">
        <v>185</v>
      </c>
      <c r="B142" s="11">
        <v>2</v>
      </c>
      <c r="C142" s="9">
        <v>10.595208567511705</v>
      </c>
      <c r="D142" s="9">
        <v>13.919132718701606</v>
      </c>
      <c r="E142" s="9">
        <v>16.11427787997134</v>
      </c>
      <c r="F142" s="9">
        <v>18.869374492384846</v>
      </c>
      <c r="G142" s="9">
        <v>20.915998011360493</v>
      </c>
      <c r="H142" s="9">
        <v>22.950645747086678</v>
      </c>
      <c r="I142" s="9">
        <v>9999</v>
      </c>
      <c r="J142" s="9">
        <v>9999</v>
      </c>
    </row>
    <row r="143" spans="1:10" ht="15.75" thickBot="1" x14ac:dyDescent="0.3">
      <c r="A143" s="10" t="s">
        <v>186</v>
      </c>
      <c r="B143" s="11">
        <v>6</v>
      </c>
      <c r="C143" s="9">
        <v>6.0237811527749487</v>
      </c>
      <c r="D143" s="9">
        <v>7.7076314617261001</v>
      </c>
      <c r="E143" s="9">
        <v>8.825684553797716</v>
      </c>
      <c r="F143" s="9">
        <v>10.221716784511564</v>
      </c>
      <c r="G143" s="9">
        <v>11.268323990241143</v>
      </c>
      <c r="H143" s="9">
        <v>12.310258086379259</v>
      </c>
      <c r="I143" s="9">
        <v>9999</v>
      </c>
      <c r="J143" s="9">
        <v>9999</v>
      </c>
    </row>
    <row r="144" spans="1:10" ht="15.75" thickBot="1" x14ac:dyDescent="0.3">
      <c r="A144" s="10" t="s">
        <v>187</v>
      </c>
      <c r="B144" s="11">
        <v>12</v>
      </c>
      <c r="C144" s="9">
        <v>4.2183223845800839</v>
      </c>
      <c r="D144" s="9">
        <v>5.3084386572293747</v>
      </c>
      <c r="E144" s="9">
        <v>6.0364827411234012</v>
      </c>
      <c r="F144" s="9">
        <v>6.9430310281513501</v>
      </c>
      <c r="G144" s="9">
        <v>7.6274512029530577</v>
      </c>
      <c r="H144" s="9">
        <v>8.3096580116382182</v>
      </c>
      <c r="I144" s="9">
        <v>9999</v>
      </c>
      <c r="J144" s="9">
        <v>9999</v>
      </c>
    </row>
    <row r="145" spans="1:10" ht="15.75" thickBot="1" x14ac:dyDescent="0.3">
      <c r="A145" s="10" t="s">
        <v>188</v>
      </c>
      <c r="B145" s="11">
        <v>24</v>
      </c>
      <c r="C145" s="9">
        <v>2.9539990396318103</v>
      </c>
      <c r="D145" s="9">
        <v>3.6560545373113205</v>
      </c>
      <c r="E145" s="9">
        <v>4.1287589264903888</v>
      </c>
      <c r="F145" s="9">
        <v>4.7160062124706839</v>
      </c>
      <c r="G145" s="9">
        <v>5.1629693913500105</v>
      </c>
      <c r="H145" s="9">
        <v>5.6091769795455724</v>
      </c>
      <c r="I145" s="9">
        <v>9999</v>
      </c>
      <c r="J145" s="9">
        <v>9999</v>
      </c>
    </row>
    <row r="146" spans="1:10" ht="15.75" thickBot="1" x14ac:dyDescent="0.3">
      <c r="A146" s="10" t="s">
        <v>189</v>
      </c>
      <c r="B146" s="11">
        <v>8.3333333333333329E-2</v>
      </c>
      <c r="C146" s="9">
        <v>58.019598967040494</v>
      </c>
      <c r="D146" s="9">
        <v>84.0714066783611</v>
      </c>
      <c r="E146" s="9">
        <v>101.62800458076347</v>
      </c>
      <c r="F146" s="9">
        <v>123.50848739882052</v>
      </c>
      <c r="G146" s="9">
        <v>139.74358781880417</v>
      </c>
      <c r="H146" s="9">
        <v>156.24439524695029</v>
      </c>
      <c r="I146" s="9">
        <v>9999</v>
      </c>
      <c r="J146" s="9">
        <v>9999</v>
      </c>
    </row>
    <row r="147" spans="1:10" ht="15.75" thickBot="1" x14ac:dyDescent="0.3">
      <c r="A147" s="10" t="s">
        <v>190</v>
      </c>
      <c r="B147" s="11">
        <v>0.16666666666666666</v>
      </c>
      <c r="C147" s="9">
        <v>40.82747436763745</v>
      </c>
      <c r="D147" s="9">
        <v>58.183706840951011</v>
      </c>
      <c r="E147" s="9">
        <v>69.799954711644176</v>
      </c>
      <c r="F147" s="9">
        <v>84.300330126814529</v>
      </c>
      <c r="G147" s="9">
        <v>95.051551839666544</v>
      </c>
      <c r="H147" s="9">
        <v>105.90747644936506</v>
      </c>
      <c r="I147" s="9">
        <v>9999</v>
      </c>
      <c r="J147" s="9">
        <v>9999</v>
      </c>
    </row>
    <row r="148" spans="1:10" ht="15.75" thickBot="1" x14ac:dyDescent="0.3">
      <c r="A148" s="10" t="s">
        <v>191</v>
      </c>
      <c r="B148" s="11">
        <v>0.25</v>
      </c>
      <c r="C148" s="9">
        <v>33.241012716882892</v>
      </c>
      <c r="D148" s="9">
        <v>46.91340201833205</v>
      </c>
      <c r="E148" s="9">
        <v>56.029104130380325</v>
      </c>
      <c r="F148" s="9">
        <v>67.422211191236755</v>
      </c>
      <c r="G148" s="9">
        <v>75.866923223162473</v>
      </c>
      <c r="H148" s="9">
        <v>84.360554078320689</v>
      </c>
      <c r="I148" s="9">
        <v>9999</v>
      </c>
      <c r="J148" s="9">
        <v>9999</v>
      </c>
    </row>
    <row r="149" spans="1:10" ht="15.75" thickBot="1" x14ac:dyDescent="0.3">
      <c r="A149" s="10" t="s">
        <v>192</v>
      </c>
      <c r="B149" s="11">
        <v>0.5</v>
      </c>
      <c r="C149" s="9">
        <v>23.391175030765179</v>
      </c>
      <c r="D149" s="9">
        <v>32.467586041341619</v>
      </c>
      <c r="E149" s="9">
        <v>38.481803780045858</v>
      </c>
      <c r="F149" s="9">
        <v>46.018818471542126</v>
      </c>
      <c r="G149" s="9">
        <v>51.603575507255336</v>
      </c>
      <c r="H149" s="9">
        <v>57.182296876530849</v>
      </c>
      <c r="I149" s="9">
        <v>9999</v>
      </c>
      <c r="J149" s="9">
        <v>9999</v>
      </c>
    </row>
    <row r="150" spans="1:10" ht="15.75" thickBot="1" x14ac:dyDescent="0.3">
      <c r="A150" s="10" t="s">
        <v>193</v>
      </c>
      <c r="B150" s="11">
        <v>1</v>
      </c>
      <c r="C150" s="9">
        <v>16.46</v>
      </c>
      <c r="D150" s="9">
        <v>22.47</v>
      </c>
      <c r="E150" s="9">
        <v>26.43</v>
      </c>
      <c r="F150" s="9">
        <v>31.41</v>
      </c>
      <c r="G150" s="9">
        <v>35.1</v>
      </c>
      <c r="H150" s="9">
        <v>38.76</v>
      </c>
      <c r="I150" s="9">
        <v>9999</v>
      </c>
      <c r="J150" s="9">
        <v>9999</v>
      </c>
    </row>
    <row r="151" spans="1:10" ht="15.75" thickBot="1" x14ac:dyDescent="0.3">
      <c r="A151" s="10" t="s">
        <v>194</v>
      </c>
      <c r="B151" s="11">
        <v>2</v>
      </c>
      <c r="C151" s="9">
        <v>11.582641728928023</v>
      </c>
      <c r="D151" s="9">
        <v>15.550922059838379</v>
      </c>
      <c r="E151" s="9">
        <v>18.152602824772458</v>
      </c>
      <c r="F151" s="9">
        <v>21.438796839386537</v>
      </c>
      <c r="G151" s="9">
        <v>23.874508459724506</v>
      </c>
      <c r="H151" s="9">
        <v>26.272774653384015</v>
      </c>
      <c r="I151" s="9">
        <v>9999</v>
      </c>
      <c r="J151" s="9">
        <v>9999</v>
      </c>
    </row>
    <row r="152" spans="1:10" ht="15.75" thickBot="1" x14ac:dyDescent="0.3">
      <c r="A152" s="10" t="s">
        <v>195</v>
      </c>
      <c r="B152" s="11">
        <v>6</v>
      </c>
      <c r="C152" s="9">
        <v>6.6360117591490875</v>
      </c>
      <c r="D152" s="9">
        <v>8.6777025289945815</v>
      </c>
      <c r="E152" s="9">
        <v>10.007813083630371</v>
      </c>
      <c r="F152" s="9">
        <v>11.703253101332548</v>
      </c>
      <c r="G152" s="9">
        <v>12.961492749515138</v>
      </c>
      <c r="H152" s="9">
        <v>14.185378127844222</v>
      </c>
      <c r="I152" s="9">
        <v>9999</v>
      </c>
      <c r="J152" s="9">
        <v>9999</v>
      </c>
    </row>
    <row r="153" spans="1:10" ht="15.75" thickBot="1" x14ac:dyDescent="0.3">
      <c r="A153" s="10" t="s">
        <v>196</v>
      </c>
      <c r="B153" s="11">
        <v>12</v>
      </c>
      <c r="C153" s="9">
        <v>4.6696565440569415</v>
      </c>
      <c r="D153" s="9">
        <v>6.0056197457435303</v>
      </c>
      <c r="E153" s="9">
        <v>6.8735473345328586</v>
      </c>
      <c r="F153" s="9">
        <v>7.9880186437245762</v>
      </c>
      <c r="G153" s="9">
        <v>8.8162184700557571</v>
      </c>
      <c r="H153" s="9">
        <v>9.6153055450436948</v>
      </c>
      <c r="I153" s="9">
        <v>9999</v>
      </c>
      <c r="J153" s="9">
        <v>9999</v>
      </c>
    </row>
    <row r="154" spans="1:10" ht="15.75" thickBot="1" x14ac:dyDescent="0.3">
      <c r="A154" s="10" t="s">
        <v>197</v>
      </c>
      <c r="B154" s="11">
        <v>24</v>
      </c>
      <c r="C154" s="9">
        <v>3.2859634718685147</v>
      </c>
      <c r="D154" s="9">
        <v>4.156338432892035</v>
      </c>
      <c r="E154" s="9">
        <v>4.7208768354539679</v>
      </c>
      <c r="F154" s="9">
        <v>5.4521970344490027</v>
      </c>
      <c r="G154" s="9">
        <v>5.9966633175534358</v>
      </c>
      <c r="H154" s="9">
        <v>6.5175633593489888</v>
      </c>
      <c r="I154" s="9">
        <v>9999</v>
      </c>
      <c r="J154" s="9">
        <v>9999</v>
      </c>
    </row>
    <row r="155" spans="1:10" ht="15.75" thickBot="1" x14ac:dyDescent="0.3">
      <c r="A155" s="10" t="s">
        <v>198</v>
      </c>
      <c r="B155" s="11">
        <v>8.3333333333333329E-2</v>
      </c>
      <c r="C155" s="9">
        <v>68.34328596394559</v>
      </c>
      <c r="D155" s="9">
        <v>101.04766307852799</v>
      </c>
      <c r="E155" s="9">
        <v>122.8489471233552</v>
      </c>
      <c r="F155" s="9">
        <v>150.45595466543406</v>
      </c>
      <c r="G155" s="9">
        <v>170.93742147929814</v>
      </c>
      <c r="H155" s="9">
        <v>191.30815771777714</v>
      </c>
      <c r="I155" s="9">
        <v>9999</v>
      </c>
      <c r="J155" s="9">
        <v>9999</v>
      </c>
    </row>
    <row r="156" spans="1:10" ht="15.75" thickBot="1" x14ac:dyDescent="0.3">
      <c r="A156" s="10" t="s">
        <v>199</v>
      </c>
      <c r="B156" s="11">
        <v>0.16666666666666666</v>
      </c>
      <c r="C156" s="9">
        <v>47.793009448184037</v>
      </c>
      <c r="D156" s="9">
        <v>69.497643094905314</v>
      </c>
      <c r="E156" s="9">
        <v>83.908303635197626</v>
      </c>
      <c r="F156" s="9">
        <v>102.12536297455696</v>
      </c>
      <c r="G156" s="9">
        <v>115.62619413428182</v>
      </c>
      <c r="H156" s="9">
        <v>129.04716020845598</v>
      </c>
      <c r="I156" s="9">
        <v>9999</v>
      </c>
      <c r="J156" s="9">
        <v>9999</v>
      </c>
    </row>
    <row r="157" spans="1:10" ht="15.75" thickBot="1" x14ac:dyDescent="0.3">
      <c r="A157" s="10" t="s">
        <v>200</v>
      </c>
      <c r="B157" s="11">
        <v>0.25</v>
      </c>
      <c r="C157" s="9">
        <v>38.770489880728256</v>
      </c>
      <c r="D157" s="9">
        <v>55.831692902452119</v>
      </c>
      <c r="E157" s="9">
        <v>67.135889693273398</v>
      </c>
      <c r="F157" s="9">
        <v>81.413907478573165</v>
      </c>
      <c r="G157" s="9">
        <v>91.990030077518171</v>
      </c>
      <c r="H157" s="9">
        <v>102.50112141557133</v>
      </c>
      <c r="I157" s="9">
        <v>9999</v>
      </c>
      <c r="J157" s="9">
        <v>9999</v>
      </c>
    </row>
    <row r="158" spans="1:10" ht="15.75" thickBot="1" x14ac:dyDescent="0.3">
      <c r="A158" s="10" t="s">
        <v>201</v>
      </c>
      <c r="B158" s="11">
        <v>0.5</v>
      </c>
      <c r="C158" s="9">
        <v>27.112515341417662</v>
      </c>
      <c r="D158" s="9">
        <v>38.399414182429403</v>
      </c>
      <c r="E158" s="9">
        <v>45.855163997016987</v>
      </c>
      <c r="F158" s="9">
        <v>55.261520694976163</v>
      </c>
      <c r="G158" s="9">
        <v>62.224274732316012</v>
      </c>
      <c r="H158" s="9">
        <v>69.142261337204218</v>
      </c>
      <c r="I158" s="9">
        <v>9999</v>
      </c>
      <c r="J158" s="9">
        <v>9999</v>
      </c>
    </row>
    <row r="159" spans="1:10" ht="15.75" thickBot="1" x14ac:dyDescent="0.3">
      <c r="A159" s="10" t="s">
        <v>202</v>
      </c>
      <c r="B159" s="11">
        <v>1</v>
      </c>
      <c r="C159" s="9">
        <v>18.96</v>
      </c>
      <c r="D159" s="9">
        <v>26.41</v>
      </c>
      <c r="E159" s="9">
        <v>31.32</v>
      </c>
      <c r="F159" s="9">
        <v>37.51</v>
      </c>
      <c r="G159" s="9">
        <v>42.09</v>
      </c>
      <c r="H159" s="9">
        <v>46.64</v>
      </c>
      <c r="I159" s="9">
        <v>9999</v>
      </c>
      <c r="J159" s="9">
        <v>9999</v>
      </c>
    </row>
    <row r="160" spans="1:10" ht="15.75" thickBot="1" x14ac:dyDescent="0.3">
      <c r="A160" s="10" t="s">
        <v>203</v>
      </c>
      <c r="B160" s="11">
        <v>2</v>
      </c>
      <c r="C160" s="9">
        <v>13.258880464360615</v>
      </c>
      <c r="D160" s="9">
        <v>18.164029708535313</v>
      </c>
      <c r="E160" s="9">
        <v>21.392190420773833</v>
      </c>
      <c r="F160" s="9">
        <v>25.460756097649522</v>
      </c>
      <c r="G160" s="9">
        <v>28.470691022453028</v>
      </c>
      <c r="H160" s="9">
        <v>31.461071100801782</v>
      </c>
      <c r="I160" s="9">
        <v>9999</v>
      </c>
      <c r="J160" s="9">
        <v>9999</v>
      </c>
    </row>
    <row r="161" spans="1:10" ht="15.75" thickBot="1" x14ac:dyDescent="0.3">
      <c r="A161" s="10" t="s">
        <v>204</v>
      </c>
      <c r="B161" s="11">
        <v>6</v>
      </c>
      <c r="C161" s="9">
        <v>7.5216355728705642</v>
      </c>
      <c r="D161" s="9">
        <v>10.036140348637678</v>
      </c>
      <c r="E161" s="9">
        <v>11.690647498545268</v>
      </c>
      <c r="F161" s="9">
        <v>13.777185794194272</v>
      </c>
      <c r="G161" s="9">
        <v>15.321511818875573</v>
      </c>
      <c r="H161" s="9">
        <v>16.856547610084188</v>
      </c>
      <c r="I161" s="9">
        <v>9999</v>
      </c>
      <c r="J161" s="9">
        <v>9999</v>
      </c>
    </row>
    <row r="162" spans="1:10" ht="15.75" thickBot="1" x14ac:dyDescent="0.3">
      <c r="A162" s="10" t="s">
        <v>205</v>
      </c>
      <c r="B162" s="11">
        <v>12</v>
      </c>
      <c r="C162" s="9">
        <v>5.2599402403572464</v>
      </c>
      <c r="D162" s="9">
        <v>6.9025653711353563</v>
      </c>
      <c r="E162" s="9">
        <v>7.9849475552689535</v>
      </c>
      <c r="F162" s="9">
        <v>9.3515747058912897</v>
      </c>
      <c r="G162" s="9">
        <v>10.363840080590844</v>
      </c>
      <c r="H162" s="9">
        <v>11.370605550491186</v>
      </c>
      <c r="I162" s="9">
        <v>9999</v>
      </c>
      <c r="J162" s="9">
        <v>9999</v>
      </c>
    </row>
    <row r="163" spans="1:10" ht="15.75" thickBot="1" x14ac:dyDescent="0.3">
      <c r="A163" s="10" t="s">
        <v>206</v>
      </c>
      <c r="B163" s="11">
        <v>24</v>
      </c>
      <c r="C163" s="9">
        <v>3.6783185072034263</v>
      </c>
      <c r="D163" s="9">
        <v>4.7473836602199819</v>
      </c>
      <c r="E163" s="9">
        <v>5.4538799042849915</v>
      </c>
      <c r="F163" s="9">
        <v>6.347591647977783</v>
      </c>
      <c r="G163" s="9">
        <v>7.0103513599576299</v>
      </c>
      <c r="H163" s="9">
        <v>7.6700563825723522</v>
      </c>
      <c r="I163" s="9">
        <v>9999</v>
      </c>
      <c r="J163" s="9">
        <v>9999</v>
      </c>
    </row>
    <row r="164" spans="1:10" ht="15.75" thickBot="1" x14ac:dyDescent="0.3">
      <c r="A164" s="10" t="s">
        <v>213</v>
      </c>
      <c r="B164" s="11">
        <f>5/60</f>
        <v>8.3333333333333329E-2</v>
      </c>
      <c r="C164" s="9">
        <v>33.287390016946503</v>
      </c>
      <c r="D164" s="9">
        <v>48.902347901264591</v>
      </c>
      <c r="E164" s="9">
        <v>60.490485145034917</v>
      </c>
      <c r="F164" s="9">
        <v>77.583720137717165</v>
      </c>
      <c r="G164" s="9">
        <v>91.775420019000791</v>
      </c>
      <c r="H164" s="9">
        <v>107.51630082753789</v>
      </c>
      <c r="I164" s="9">
        <v>124.66681526734317</v>
      </c>
      <c r="J164" s="9">
        <v>9999</v>
      </c>
    </row>
    <row r="165" spans="1:10" ht="15.75" thickBot="1" x14ac:dyDescent="0.3">
      <c r="A165" s="10" t="s">
        <v>214</v>
      </c>
      <c r="B165" s="11">
        <f>10/60</f>
        <v>0.16666666666666666</v>
      </c>
      <c r="C165" s="9">
        <v>23.83348204211153</v>
      </c>
      <c r="D165" s="9">
        <v>34.261878419620842</v>
      </c>
      <c r="E165" s="9">
        <v>41.928704493149233</v>
      </c>
      <c r="F165" s="9">
        <v>53.059260869465909</v>
      </c>
      <c r="G165" s="9">
        <v>62.212706647414123</v>
      </c>
      <c r="H165" s="9">
        <v>72.259051585871532</v>
      </c>
      <c r="I165" s="9">
        <v>83.127450510859305</v>
      </c>
      <c r="J165" s="9">
        <v>9999</v>
      </c>
    </row>
    <row r="166" spans="1:10" ht="15.75" thickBot="1" x14ac:dyDescent="0.3">
      <c r="A166" s="10" t="s">
        <v>215</v>
      </c>
      <c r="B166" s="11">
        <f>15/60</f>
        <v>0.25</v>
      </c>
      <c r="C166" s="9">
        <v>19.602613306948012</v>
      </c>
      <c r="D166" s="9">
        <v>27.82425964051367</v>
      </c>
      <c r="E166" s="9">
        <v>33.837609399967803</v>
      </c>
      <c r="F166" s="9">
        <v>42.485123206695079</v>
      </c>
      <c r="G166" s="9">
        <v>49.557543011007226</v>
      </c>
      <c r="H166" s="9">
        <v>57.271456181414322</v>
      </c>
      <c r="I166" s="9">
        <v>65.582401366991007</v>
      </c>
      <c r="J166" s="9">
        <v>9999</v>
      </c>
    </row>
    <row r="167" spans="1:10" ht="15.75" thickBot="1" x14ac:dyDescent="0.3">
      <c r="A167" s="10" t="s">
        <v>216</v>
      </c>
      <c r="B167" s="11">
        <f>30/60</f>
        <v>0.5</v>
      </c>
      <c r="C167" s="9">
        <v>14.035300814865714</v>
      </c>
      <c r="D167" s="9">
        <v>19.49418467276886</v>
      </c>
      <c r="E167" s="9">
        <v>23.454384964580044</v>
      </c>
      <c r="F167" s="9">
        <v>29.055441415982639</v>
      </c>
      <c r="G167" s="9">
        <v>33.59405911596032</v>
      </c>
      <c r="H167" s="9">
        <v>38.490731868174954</v>
      </c>
      <c r="I167" s="9">
        <v>43.730144323707172</v>
      </c>
      <c r="J167" s="9">
        <v>9999</v>
      </c>
    </row>
    <row r="168" spans="1:10" ht="15.75" thickBot="1" x14ac:dyDescent="0.3">
      <c r="A168" s="10" t="s">
        <v>217</v>
      </c>
      <c r="B168" s="11">
        <v>1</v>
      </c>
      <c r="C168" s="9">
        <v>10.049153440880685</v>
      </c>
      <c r="D168" s="9">
        <v>13.657981954088774</v>
      </c>
      <c r="E168" s="9">
        <v>16.2573002000325</v>
      </c>
      <c r="F168" s="9">
        <v>19.87092450621779</v>
      </c>
      <c r="G168" s="9">
        <v>22.772735275353988</v>
      </c>
      <c r="H168" s="9">
        <v>25.868670687450162</v>
      </c>
      <c r="I168" s="9">
        <v>29.15912627034076</v>
      </c>
      <c r="J168" s="9">
        <v>9999</v>
      </c>
    </row>
    <row r="169" spans="1:10" ht="15.75" thickBot="1" x14ac:dyDescent="0.3">
      <c r="A169" s="10" t="s">
        <v>218</v>
      </c>
      <c r="B169" s="11">
        <v>2</v>
      </c>
      <c r="C169" s="9">
        <v>7.1951065538548153</v>
      </c>
      <c r="D169" s="9">
        <v>9.5690316978883576</v>
      </c>
      <c r="E169" s="9">
        <v>11.26867364857841</v>
      </c>
      <c r="F169" s="9">
        <v>13.589662434610545</v>
      </c>
      <c r="G169" s="9">
        <v>15.437178047798621</v>
      </c>
      <c r="H169" s="9">
        <v>17.385694962299322</v>
      </c>
      <c r="I169" s="9">
        <v>19.443216069806859</v>
      </c>
      <c r="J169" s="9">
        <v>9999</v>
      </c>
    </row>
    <row r="170" spans="1:10" ht="15.75" thickBot="1" x14ac:dyDescent="0.3">
      <c r="A170" s="10" t="s">
        <v>219</v>
      </c>
      <c r="B170" s="11">
        <v>6</v>
      </c>
      <c r="C170" s="9">
        <v>4.2371267740035723</v>
      </c>
      <c r="D170" s="9">
        <v>5.4445488590429401</v>
      </c>
      <c r="E170" s="9">
        <v>6.3035529713817153</v>
      </c>
      <c r="F170" s="9">
        <v>7.4417478544077085</v>
      </c>
      <c r="G170" s="9">
        <v>8.3358770236515252</v>
      </c>
      <c r="H170" s="9">
        <v>9.2609591248300624</v>
      </c>
      <c r="I170" s="9">
        <v>10.228325777158341</v>
      </c>
      <c r="J170" s="9">
        <v>9999</v>
      </c>
    </row>
    <row r="171" spans="1:10" ht="15.75" thickBot="1" x14ac:dyDescent="0.3">
      <c r="A171" s="10" t="s">
        <v>220</v>
      </c>
      <c r="B171" s="11">
        <v>12</v>
      </c>
      <c r="C171" s="9">
        <v>3.0337459568609235</v>
      </c>
      <c r="D171" s="9">
        <v>3.814550406349523</v>
      </c>
      <c r="E171" s="9">
        <v>4.3692790553800114</v>
      </c>
      <c r="F171" s="9">
        <v>5.0893878255761731</v>
      </c>
      <c r="G171" s="9">
        <v>5.6507229475384984</v>
      </c>
      <c r="H171" s="9">
        <v>6.2240620072035231</v>
      </c>
      <c r="I171" s="9">
        <v>6.8202162943389428</v>
      </c>
      <c r="J171" s="9">
        <v>9999</v>
      </c>
    </row>
    <row r="172" spans="1:10" ht="15.75" thickBot="1" x14ac:dyDescent="0.3">
      <c r="A172" s="10" t="s">
        <v>221</v>
      </c>
      <c r="B172" s="11">
        <v>24</v>
      </c>
      <c r="C172" s="9">
        <v>2.1721357470911116</v>
      </c>
      <c r="D172" s="9">
        <v>2.6725437091842155</v>
      </c>
      <c r="E172" s="9">
        <v>3.0285458931580704</v>
      </c>
      <c r="F172" s="9">
        <v>3.4806162404147338</v>
      </c>
      <c r="G172" s="9">
        <v>3.8305111434874508</v>
      </c>
      <c r="H172" s="9">
        <v>4.1830384247835868</v>
      </c>
      <c r="I172" s="9">
        <v>4.5476993317365215</v>
      </c>
      <c r="J172" s="9">
        <v>9999</v>
      </c>
    </row>
    <row r="173" spans="1:10" ht="15.75" thickBot="1" x14ac:dyDescent="0.3">
      <c r="A173" s="10" t="s">
        <v>225</v>
      </c>
      <c r="B173" s="11">
        <f>5/60</f>
        <v>8.3333333333333329E-2</v>
      </c>
      <c r="C173" s="9">
        <v>37.186972526355241</v>
      </c>
      <c r="D173" s="9">
        <v>57.622870179054388</v>
      </c>
      <c r="E173" s="9">
        <v>73.136869808234323</v>
      </c>
      <c r="F173" s="9">
        <v>95.846809759162568</v>
      </c>
      <c r="G173" s="9">
        <v>114.32780102500759</v>
      </c>
      <c r="H173" s="9">
        <v>134.85751974133271</v>
      </c>
      <c r="I173" s="9">
        <v>157.4047906507588</v>
      </c>
      <c r="J173" s="9">
        <v>9999</v>
      </c>
    </row>
    <row r="174" spans="1:10" ht="15.75" thickBot="1" x14ac:dyDescent="0.3">
      <c r="A174" s="10" t="s">
        <v>222</v>
      </c>
      <c r="B174" s="11">
        <f>10/60</f>
        <v>0.16666666666666666</v>
      </c>
      <c r="C174" s="9">
        <v>26.710827608787906</v>
      </c>
      <c r="D174" s="9">
        <v>40.412880087579929</v>
      </c>
      <c r="E174" s="9">
        <v>50.738232788014422</v>
      </c>
      <c r="F174" s="9">
        <v>65.60125811838229</v>
      </c>
      <c r="G174" s="9">
        <v>77.593072657947516</v>
      </c>
      <c r="H174" s="9">
        <v>90.783155716874376</v>
      </c>
      <c r="I174" s="9">
        <v>105.12630241857173</v>
      </c>
      <c r="J174" s="9">
        <v>9999</v>
      </c>
    </row>
    <row r="175" spans="1:10" ht="15.75" thickBot="1" x14ac:dyDescent="0.3">
      <c r="A175" s="10" t="s">
        <v>223</v>
      </c>
      <c r="B175" s="11">
        <f>15/60</f>
        <v>0.25</v>
      </c>
      <c r="C175" s="9">
        <v>22.010311973257146</v>
      </c>
      <c r="D175" s="9">
        <v>32.839130957286471</v>
      </c>
      <c r="E175" s="9">
        <v>40.967804249015273</v>
      </c>
      <c r="F175" s="9">
        <v>52.551973463714745</v>
      </c>
      <c r="G175" s="9">
        <v>61.852442707117305</v>
      </c>
      <c r="H175" s="9">
        <v>72.022440405798477</v>
      </c>
      <c r="I175" s="9">
        <v>83.016348624356013</v>
      </c>
      <c r="J175" s="9">
        <v>9999</v>
      </c>
    </row>
    <row r="176" spans="1:10" ht="15.75" thickBot="1" x14ac:dyDescent="0.3">
      <c r="A176" s="10" t="s">
        <v>224</v>
      </c>
      <c r="B176" s="11">
        <f>30/60</f>
        <v>0.5</v>
      </c>
      <c r="C176" s="9">
        <v>15.809666901941116</v>
      </c>
      <c r="D176" s="9">
        <v>23.031200241038221</v>
      </c>
      <c r="E176" s="9">
        <v>28.421150566746217</v>
      </c>
      <c r="F176" s="9">
        <v>35.968600149406257</v>
      </c>
      <c r="G176" s="9">
        <v>41.978600463023909</v>
      </c>
      <c r="H176" s="9">
        <v>48.483943906206463</v>
      </c>
      <c r="I176" s="9">
        <v>55.444321199429503</v>
      </c>
      <c r="J176" s="9">
        <v>9999</v>
      </c>
    </row>
    <row r="177" spans="1:10" ht="15.75" thickBot="1" x14ac:dyDescent="0.3">
      <c r="A177" s="10" t="s">
        <v>226</v>
      </c>
      <c r="B177" s="11">
        <v>1</v>
      </c>
      <c r="C177" s="9">
        <v>11.355839383558939</v>
      </c>
      <c r="D177" s="9">
        <v>16.152564610577919</v>
      </c>
      <c r="E177" s="9">
        <v>19.716990313364786</v>
      </c>
      <c r="F177" s="9">
        <v>24.618299017850379</v>
      </c>
      <c r="G177" s="9">
        <v>28.490433355696979</v>
      </c>
      <c r="H177" s="9">
        <v>32.638338876822111</v>
      </c>
      <c r="I177" s="9">
        <v>37.02972732727023</v>
      </c>
      <c r="J177" s="9">
        <v>9999</v>
      </c>
    </row>
    <row r="178" spans="1:10" ht="15.75" thickBot="1" x14ac:dyDescent="0.3">
      <c r="A178" s="10" t="s">
        <v>227</v>
      </c>
      <c r="B178" s="11">
        <v>2</v>
      </c>
      <c r="C178" s="9">
        <v>8.1567239148697777</v>
      </c>
      <c r="D178" s="9">
        <v>11.328343324200667</v>
      </c>
      <c r="E178" s="9">
        <v>13.678535149529935</v>
      </c>
      <c r="F178" s="9">
        <v>16.849714584800079</v>
      </c>
      <c r="G178" s="9">
        <v>19.336156609374971</v>
      </c>
      <c r="H178" s="9">
        <v>21.971421440034966</v>
      </c>
      <c r="I178" s="9">
        <v>24.731129830228539</v>
      </c>
      <c r="J178" s="9">
        <v>9999</v>
      </c>
    </row>
    <row r="179" spans="1:10" ht="15.75" thickBot="1" x14ac:dyDescent="0.3">
      <c r="A179" s="10" t="s">
        <v>228</v>
      </c>
      <c r="B179" s="11">
        <v>6</v>
      </c>
      <c r="C179" s="9">
        <v>4.8278207621976428</v>
      </c>
      <c r="D179" s="9">
        <v>6.4559947950623329</v>
      </c>
      <c r="E179" s="9">
        <v>7.6620663680102625</v>
      </c>
      <c r="F179" s="9">
        <v>9.2385521850604153</v>
      </c>
      <c r="G179" s="9">
        <v>10.461047165558686</v>
      </c>
      <c r="H179" s="9">
        <v>11.734127947264907</v>
      </c>
      <c r="I179" s="9">
        <v>13.043364737327108</v>
      </c>
      <c r="J179" s="9">
        <v>9999</v>
      </c>
    </row>
    <row r="180" spans="1:10" ht="15.75" thickBot="1" x14ac:dyDescent="0.3">
      <c r="A180" s="10" t="s">
        <v>229</v>
      </c>
      <c r="B180" s="11">
        <v>12</v>
      </c>
      <c r="C180" s="9">
        <v>3.4677490353320617</v>
      </c>
      <c r="D180" s="9">
        <v>4.5278088836632078</v>
      </c>
      <c r="E180" s="9">
        <v>5.315509236813841</v>
      </c>
      <c r="F180" s="9">
        <v>6.3232219001880345</v>
      </c>
      <c r="G180" s="9">
        <v>7.0998023710598792</v>
      </c>
      <c r="H180" s="9">
        <v>7.8991602891817374</v>
      </c>
      <c r="I180" s="9">
        <v>8.7113022434897101</v>
      </c>
      <c r="J180" s="9">
        <v>9999</v>
      </c>
    </row>
    <row r="181" spans="1:10" ht="15.75" thickBot="1" x14ac:dyDescent="0.3">
      <c r="A181" s="10" t="s">
        <v>230</v>
      </c>
      <c r="B181" s="11">
        <v>24</v>
      </c>
      <c r="C181" s="9">
        <v>2.4908305350119266</v>
      </c>
      <c r="D181" s="9">
        <v>3.1755064769660364</v>
      </c>
      <c r="E181" s="9">
        <v>3.6876003273240534</v>
      </c>
      <c r="F181" s="9">
        <v>4.3278572657384533</v>
      </c>
      <c r="G181" s="9">
        <v>4.8185609825051792</v>
      </c>
      <c r="H181" s="9">
        <v>5.3175432852451285</v>
      </c>
      <c r="I181" s="9">
        <v>5.8180376233947051</v>
      </c>
      <c r="J181" s="9">
        <v>9999</v>
      </c>
    </row>
    <row r="182" spans="1:10" ht="15.75" thickBot="1" x14ac:dyDescent="0.3">
      <c r="A182" s="10" t="s">
        <v>231</v>
      </c>
      <c r="B182" s="11">
        <v>8.3333333333333329E-2</v>
      </c>
      <c r="C182" s="9">
        <v>43.059222177359004</v>
      </c>
      <c r="D182" s="9">
        <v>70.039121874548215</v>
      </c>
      <c r="E182" s="9">
        <v>90.488555520083608</v>
      </c>
      <c r="F182" s="9">
        <v>119.60719447871602</v>
      </c>
      <c r="G182" s="9">
        <v>143.99580329579112</v>
      </c>
      <c r="H182" s="9">
        <v>170.85434165832982</v>
      </c>
      <c r="I182" s="9">
        <v>200.40652637826636</v>
      </c>
      <c r="J182" s="9">
        <v>9999</v>
      </c>
    </row>
    <row r="183" spans="1:10" ht="15.75" thickBot="1" x14ac:dyDescent="0.3">
      <c r="A183" s="10" t="s">
        <v>232</v>
      </c>
      <c r="B183" s="11">
        <v>0.16666666666666666</v>
      </c>
      <c r="C183" s="9">
        <v>30.96220623771449</v>
      </c>
      <c r="D183" s="9">
        <v>49.137886179726173</v>
      </c>
      <c r="E183" s="9">
        <v>62.74241316541643</v>
      </c>
      <c r="F183" s="9">
        <v>81.875217409779907</v>
      </c>
      <c r="G183" s="9">
        <v>97.723374237984771</v>
      </c>
      <c r="H183" s="9">
        <v>115.00422666550804</v>
      </c>
      <c r="I183" s="9">
        <v>133.85821865814992</v>
      </c>
      <c r="J183" s="9">
        <v>9999</v>
      </c>
    </row>
    <row r="184" spans="1:10" ht="15.75" thickBot="1" x14ac:dyDescent="0.3">
      <c r="A184" s="10" t="s">
        <v>233</v>
      </c>
      <c r="B184" s="11">
        <v>0.25</v>
      </c>
      <c r="C184" s="9">
        <v>25.529670860757207</v>
      </c>
      <c r="D184" s="9">
        <v>39.937104248937104</v>
      </c>
      <c r="E184" s="9">
        <v>50.644607081752419</v>
      </c>
      <c r="F184" s="9">
        <v>65.594104726559877</v>
      </c>
      <c r="G184" s="9">
        <v>77.896726840481108</v>
      </c>
      <c r="H184" s="9">
        <v>91.232925515823709</v>
      </c>
      <c r="I184" s="9">
        <v>105.71108353674963</v>
      </c>
      <c r="J184" s="9">
        <v>9999</v>
      </c>
    </row>
    <row r="185" spans="1:10" ht="15.75" thickBot="1" x14ac:dyDescent="0.3">
      <c r="A185" s="10" t="s">
        <v>234</v>
      </c>
      <c r="B185" s="11">
        <v>0.5</v>
      </c>
      <c r="C185" s="9">
        <v>18.357389994549507</v>
      </c>
      <c r="D185" s="9">
        <v>28.018981826287906</v>
      </c>
      <c r="E185" s="9">
        <v>35.115654613563095</v>
      </c>
      <c r="F185" s="9">
        <v>44.901409222859449</v>
      </c>
      <c r="G185" s="9">
        <v>52.864950329902513</v>
      </c>
      <c r="H185" s="9">
        <v>61.410040526574278</v>
      </c>
      <c r="I185" s="9">
        <v>70.607966668428574</v>
      </c>
      <c r="J185" s="9">
        <v>9999</v>
      </c>
    </row>
    <row r="186" spans="1:10" ht="15.75" thickBot="1" x14ac:dyDescent="0.3">
      <c r="A186" s="10" t="s">
        <v>235</v>
      </c>
      <c r="B186" s="11">
        <v>1</v>
      </c>
      <c r="C186" s="9">
        <v>13.200082729229171</v>
      </c>
      <c r="D186" s="9">
        <v>19.657492884020144</v>
      </c>
      <c r="E186" s="9">
        <v>24.348282472574514</v>
      </c>
      <c r="F186" s="9">
        <v>30.736551075790935</v>
      </c>
      <c r="G186" s="9">
        <v>35.877027016887666</v>
      </c>
      <c r="H186" s="9">
        <v>41.335877986521524</v>
      </c>
      <c r="I186" s="9">
        <v>47.161421397376515</v>
      </c>
      <c r="J186" s="9">
        <v>9999</v>
      </c>
    </row>
    <row r="187" spans="1:10" ht="15.75" thickBot="1" x14ac:dyDescent="0.3">
      <c r="A187" s="10" t="s">
        <v>236</v>
      </c>
      <c r="B187" s="11">
        <v>2</v>
      </c>
      <c r="C187" s="9">
        <v>9.4916643439088286</v>
      </c>
      <c r="D187" s="9">
        <v>13.791258686022607</v>
      </c>
      <c r="E187" s="9">
        <v>16.882466406743298</v>
      </c>
      <c r="F187" s="9">
        <v>21.040220972702507</v>
      </c>
      <c r="G187" s="9">
        <v>24.348099440895879</v>
      </c>
      <c r="H187" s="9">
        <v>27.823704304138992</v>
      </c>
      <c r="I187" s="9">
        <v>31.50068998114125</v>
      </c>
      <c r="J187" s="9">
        <v>9999</v>
      </c>
    </row>
    <row r="188" spans="1:10" ht="15.75" thickBot="1" x14ac:dyDescent="0.3">
      <c r="A188" s="10" t="s">
        <v>237</v>
      </c>
      <c r="B188" s="11">
        <v>6</v>
      </c>
      <c r="C188" s="9">
        <v>5.6275764950578058</v>
      </c>
      <c r="D188" s="9">
        <v>7.8639326297421119</v>
      </c>
      <c r="E188" s="9">
        <v>9.448773635806722</v>
      </c>
      <c r="F188" s="9">
        <v>11.538724438511929</v>
      </c>
      <c r="G188" s="9">
        <v>13.171475889032207</v>
      </c>
      <c r="H188" s="9">
        <v>14.857321843363634</v>
      </c>
      <c r="I188" s="9">
        <v>16.616085964068699</v>
      </c>
      <c r="J188" s="9">
        <v>9999</v>
      </c>
    </row>
    <row r="189" spans="1:10" ht="15.75" thickBot="1" x14ac:dyDescent="0.3">
      <c r="A189" s="10" t="s">
        <v>238</v>
      </c>
      <c r="B189" s="11">
        <v>12</v>
      </c>
      <c r="C189" s="9">
        <v>4.0465706356886457</v>
      </c>
      <c r="D189" s="9">
        <v>5.5171597836055124</v>
      </c>
      <c r="E189" s="9">
        <v>6.5515341244750092</v>
      </c>
      <c r="F189" s="9">
        <v>7.8986517169986756</v>
      </c>
      <c r="G189" s="9">
        <v>8.9388790375122706</v>
      </c>
      <c r="H189" s="9">
        <v>10.000651972506027</v>
      </c>
      <c r="I189" s="9">
        <v>11.098439299440564</v>
      </c>
      <c r="J189" s="9">
        <v>9999</v>
      </c>
    </row>
    <row r="190" spans="1:10" ht="15.75" thickBot="1" x14ac:dyDescent="0.3">
      <c r="A190" s="10" t="s">
        <v>239</v>
      </c>
      <c r="B190" s="11">
        <v>24</v>
      </c>
      <c r="C190" s="9">
        <v>2.9097310225810458</v>
      </c>
      <c r="D190" s="9">
        <v>3.8707162829333956</v>
      </c>
      <c r="E190" s="9">
        <v>4.5426635284713184</v>
      </c>
      <c r="F190" s="9">
        <v>5.406897380980527</v>
      </c>
      <c r="G190" s="9">
        <v>6.0664088914903944</v>
      </c>
      <c r="H190" s="9">
        <v>6.7315658184965432</v>
      </c>
      <c r="I190" s="9">
        <v>7.4130186344561624</v>
      </c>
      <c r="J190" s="9">
        <v>9999</v>
      </c>
    </row>
    <row r="191" spans="1:10" ht="15.75" thickBot="1" x14ac:dyDescent="0.3">
      <c r="A191" s="10" t="s">
        <v>240</v>
      </c>
      <c r="B191" s="11">
        <v>8.3333333333333329E-2</v>
      </c>
      <c r="C191" s="9">
        <v>43.397654121077792</v>
      </c>
      <c r="D191" s="9">
        <v>69.443486169758842</v>
      </c>
      <c r="E191" s="9">
        <v>87.536928223603013</v>
      </c>
      <c r="F191" s="9">
        <v>113.74546440189002</v>
      </c>
      <c r="G191" s="9">
        <v>135.32301825827679</v>
      </c>
      <c r="H191" s="9">
        <v>159.32706479664782</v>
      </c>
      <c r="I191" s="9">
        <v>185.37845740009877</v>
      </c>
      <c r="J191" s="9">
        <v>9999</v>
      </c>
    </row>
    <row r="192" spans="1:10" ht="15.75" thickBot="1" x14ac:dyDescent="0.3">
      <c r="A192" s="10" t="s">
        <v>241</v>
      </c>
      <c r="B192" s="11">
        <v>0.16666666666666666</v>
      </c>
      <c r="C192" s="9">
        <v>31.287263144631407</v>
      </c>
      <c r="D192" s="9">
        <v>48.757011383927015</v>
      </c>
      <c r="E192" s="9">
        <v>60.794609801767464</v>
      </c>
      <c r="F192" s="9">
        <v>77.900036168176712</v>
      </c>
      <c r="G192" s="9">
        <v>91.847511497025451</v>
      </c>
      <c r="H192" s="9">
        <v>107.19733604812814</v>
      </c>
      <c r="I192" s="9">
        <v>123.76890065350418</v>
      </c>
      <c r="J192" s="9">
        <v>9999</v>
      </c>
    </row>
    <row r="193" spans="1:10" ht="15.75" thickBot="1" x14ac:dyDescent="0.3">
      <c r="A193" s="10" t="s">
        <v>242</v>
      </c>
      <c r="B193" s="11">
        <v>0.25</v>
      </c>
      <c r="C193" s="9">
        <v>25.83718388214329</v>
      </c>
      <c r="D193" s="9">
        <v>39.645152318851345</v>
      </c>
      <c r="E193" s="9">
        <v>49.119073855368477</v>
      </c>
      <c r="F193" s="9">
        <v>62.42692068859386</v>
      </c>
      <c r="G193" s="9">
        <v>73.217635666442362</v>
      </c>
      <c r="H193" s="9">
        <v>85.017570970883341</v>
      </c>
      <c r="I193" s="9">
        <v>97.719489677504157</v>
      </c>
      <c r="J193" s="9">
        <v>9999</v>
      </c>
    </row>
    <row r="194" spans="1:10" ht="15.75" thickBot="1" x14ac:dyDescent="0.3">
      <c r="A194" s="10" t="s">
        <v>243</v>
      </c>
      <c r="B194" s="11">
        <v>0.5</v>
      </c>
      <c r="C194" s="9">
        <v>18.627153642487485</v>
      </c>
      <c r="D194" s="9">
        <v>27.835283761567933</v>
      </c>
      <c r="E194" s="9">
        <v>34.11331639640683</v>
      </c>
      <c r="F194" s="9">
        <v>42.753875111248448</v>
      </c>
      <c r="G194" s="9">
        <v>49.694853988724645</v>
      </c>
      <c r="H194" s="9">
        <v>57.200935302444073</v>
      </c>
      <c r="I194" s="9">
        <v>65.242930486267468</v>
      </c>
      <c r="J194" s="9">
        <v>9999</v>
      </c>
    </row>
    <row r="195" spans="1:10" ht="15.75" thickBot="1" x14ac:dyDescent="0.3">
      <c r="A195" s="10" t="s">
        <v>244</v>
      </c>
      <c r="B195" s="11">
        <v>1</v>
      </c>
      <c r="C195" s="9">
        <v>13.429128128032366</v>
      </c>
      <c r="D195" s="9">
        <v>19.543449243316111</v>
      </c>
      <c r="E195" s="9">
        <v>23.691781302471977</v>
      </c>
      <c r="F195" s="9">
        <v>29.280538217580339</v>
      </c>
      <c r="G195" s="9">
        <v>33.729285171284722</v>
      </c>
      <c r="H195" s="9">
        <v>38.485538484685271</v>
      </c>
      <c r="I195" s="9">
        <v>43.559785181889289</v>
      </c>
      <c r="J195" s="9">
        <v>9999</v>
      </c>
    </row>
    <row r="196" spans="1:10" ht="15.75" thickBot="1" x14ac:dyDescent="0.3">
      <c r="A196" s="10" t="s">
        <v>245</v>
      </c>
      <c r="B196" s="11">
        <v>2</v>
      </c>
      <c r="C196" s="9">
        <v>9.6816446431064644</v>
      </c>
      <c r="D196" s="9">
        <v>13.721663899594409</v>
      </c>
      <c r="E196" s="9">
        <v>16.453999803527832</v>
      </c>
      <c r="F196" s="9">
        <v>20.053151113911916</v>
      </c>
      <c r="G196" s="9">
        <v>22.893007763419011</v>
      </c>
      <c r="H196" s="9">
        <v>25.893574372950951</v>
      </c>
      <c r="I196" s="9">
        <v>29.08291934390844</v>
      </c>
      <c r="J196" s="9">
        <v>9999</v>
      </c>
    </row>
    <row r="197" spans="1:10" ht="15.75" thickBot="1" x14ac:dyDescent="0.3">
      <c r="A197" s="10" t="s">
        <v>246</v>
      </c>
      <c r="B197" s="11">
        <v>6</v>
      </c>
      <c r="C197" s="9">
        <v>5.7640542557348908</v>
      </c>
      <c r="D197" s="9">
        <v>7.8336714553423912</v>
      </c>
      <c r="E197" s="9">
        <v>9.2327346637208336</v>
      </c>
      <c r="F197" s="9">
        <v>11.005770478209644</v>
      </c>
      <c r="G197" s="9">
        <v>12.386450755420755</v>
      </c>
      <c r="H197" s="9">
        <v>13.816916791581544</v>
      </c>
      <c r="I197" s="9">
        <v>15.33062728257028</v>
      </c>
      <c r="J197" s="9">
        <v>9999</v>
      </c>
    </row>
    <row r="198" spans="1:10" ht="15.75" thickBot="1" x14ac:dyDescent="0.3">
      <c r="A198" s="10" t="s">
        <v>247</v>
      </c>
      <c r="B198" s="11">
        <v>12</v>
      </c>
      <c r="C198" s="9">
        <v>4.1555583114231069</v>
      </c>
      <c r="D198" s="9">
        <v>5.5001041766881018</v>
      </c>
      <c r="E198" s="9">
        <v>6.4121567054578748</v>
      </c>
      <c r="F198" s="9">
        <v>7.5374426823909211</v>
      </c>
      <c r="G198" s="9">
        <v>8.4070300293960827</v>
      </c>
      <c r="H198" s="9">
        <v>9.296202590229063</v>
      </c>
      <c r="I198" s="9">
        <v>10.235573818575375</v>
      </c>
      <c r="J198" s="9">
        <v>9999</v>
      </c>
    </row>
    <row r="199" spans="1:10" ht="15.75" thickBot="1" x14ac:dyDescent="0.3">
      <c r="A199" s="10" t="s">
        <v>248</v>
      </c>
      <c r="B199" s="11">
        <v>24</v>
      </c>
      <c r="C199" s="9">
        <v>2.9959233750196526</v>
      </c>
      <c r="D199" s="9">
        <v>3.8616817321067618</v>
      </c>
      <c r="E199" s="9">
        <v>4.4532584453995945</v>
      </c>
      <c r="F199" s="9">
        <v>5.1621140294368981</v>
      </c>
      <c r="G199" s="9">
        <v>5.7060860540890772</v>
      </c>
      <c r="H199" s="9">
        <v>6.2546068636119792</v>
      </c>
      <c r="I199" s="9">
        <v>6.8338346151443874</v>
      </c>
      <c r="J199" s="9">
        <v>9999</v>
      </c>
    </row>
    <row r="200" spans="1:10" ht="15.75" thickBot="1" x14ac:dyDescent="0.3">
      <c r="A200" s="10" t="s">
        <v>249</v>
      </c>
      <c r="B200" s="11">
        <v>8.3333333333333329E-2</v>
      </c>
      <c r="C200" s="9">
        <v>50.520555731121405</v>
      </c>
      <c r="D200" s="9">
        <v>84.565671227381202</v>
      </c>
      <c r="E200" s="9">
        <v>110.97516491515651</v>
      </c>
      <c r="F200" s="9">
        <v>149.09929124320254</v>
      </c>
      <c r="G200" s="9">
        <v>180.94659126169267</v>
      </c>
      <c r="H200" s="9">
        <v>215.36406232383689</v>
      </c>
      <c r="I200" s="9">
        <v>254.02689967919983</v>
      </c>
      <c r="J200" s="9">
        <v>9999</v>
      </c>
    </row>
    <row r="201" spans="1:10" ht="15.75" thickBot="1" x14ac:dyDescent="0.3">
      <c r="A201" s="10" t="s">
        <v>250</v>
      </c>
      <c r="B201" s="11">
        <v>0.16666666666666666</v>
      </c>
      <c r="C201" s="9">
        <v>36.359566642897619</v>
      </c>
      <c r="D201" s="9">
        <v>59.383760936056682</v>
      </c>
      <c r="E201" s="9">
        <v>77.044902887999541</v>
      </c>
      <c r="F201" s="9">
        <v>102.16719549687558</v>
      </c>
      <c r="G201" s="9">
        <v>122.93198236682315</v>
      </c>
      <c r="H201" s="9">
        <v>145.20011406843514</v>
      </c>
      <c r="I201" s="9">
        <v>169.95596708894215</v>
      </c>
      <c r="J201" s="9">
        <v>9999</v>
      </c>
    </row>
    <row r="202" spans="1:10" ht="15.75" thickBot="1" x14ac:dyDescent="0.3">
      <c r="A202" s="10" t="s">
        <v>251</v>
      </c>
      <c r="B202" s="11">
        <v>0.25</v>
      </c>
      <c r="C202" s="9">
        <v>29.995571711605141</v>
      </c>
      <c r="D202" s="9">
        <v>48.290367627105752</v>
      </c>
      <c r="E202" s="9">
        <v>62.23546677307592</v>
      </c>
      <c r="F202" s="9">
        <v>81.899570759656214</v>
      </c>
      <c r="G202" s="9">
        <v>98.05238249789241</v>
      </c>
      <c r="H202" s="9">
        <v>115.29691993314583</v>
      </c>
      <c r="I202" s="9">
        <v>134.34921626111887</v>
      </c>
      <c r="J202" s="9">
        <v>9999</v>
      </c>
    </row>
    <row r="203" spans="1:10" ht="15.75" thickBot="1" x14ac:dyDescent="0.3">
      <c r="A203" s="10" t="s">
        <v>252</v>
      </c>
      <c r="B203" s="11">
        <v>0.5</v>
      </c>
      <c r="C203" s="9">
        <v>21.587767055540922</v>
      </c>
      <c r="D203" s="9">
        <v>33.910493526051837</v>
      </c>
      <c r="E203" s="9">
        <v>43.207194126603056</v>
      </c>
      <c r="F203" s="9">
        <v>56.119981437493685</v>
      </c>
      <c r="G203" s="9">
        <v>66.615091625700927</v>
      </c>
      <c r="H203" s="9">
        <v>77.73407385331933</v>
      </c>
      <c r="I203" s="9">
        <v>89.885956983828578</v>
      </c>
      <c r="J203" s="9">
        <v>9999</v>
      </c>
    </row>
    <row r="204" spans="1:10" ht="15.75" thickBot="1" x14ac:dyDescent="0.3">
      <c r="A204" s="10" t="s">
        <v>253</v>
      </c>
      <c r="B204" s="11">
        <v>1</v>
      </c>
      <c r="C204" s="9">
        <v>15.53668291189771</v>
      </c>
      <c r="D204" s="9">
        <v>23.812648933634211</v>
      </c>
      <c r="E204" s="9">
        <v>29.996748174171277</v>
      </c>
      <c r="F204" s="9">
        <v>38.455052783940332</v>
      </c>
      <c r="G204" s="9">
        <v>45.257140308609152</v>
      </c>
      <c r="H204" s="9">
        <v>52.408912929652061</v>
      </c>
      <c r="I204" s="9">
        <v>60.137941163687387</v>
      </c>
      <c r="J204" s="9">
        <v>9999</v>
      </c>
    </row>
    <row r="205" spans="1:10" ht="15.75" thickBot="1" x14ac:dyDescent="0.3">
      <c r="A205" s="10" t="s">
        <v>254</v>
      </c>
      <c r="B205" s="11">
        <v>2</v>
      </c>
      <c r="C205" s="9">
        <v>11.181726914312671</v>
      </c>
      <c r="D205" s="9">
        <v>16.72173390224706</v>
      </c>
      <c r="E205" s="9">
        <v>20.82534909321107</v>
      </c>
      <c r="F205" s="9">
        <v>26.350526973404495</v>
      </c>
      <c r="G205" s="9">
        <v>30.746917836902156</v>
      </c>
      <c r="H205" s="9">
        <v>35.334493849514921</v>
      </c>
      <c r="I205" s="9">
        <v>40.235116682996271</v>
      </c>
      <c r="J205" s="9">
        <v>9999</v>
      </c>
    </row>
    <row r="206" spans="1:10" ht="15.75" thickBot="1" x14ac:dyDescent="0.3">
      <c r="A206" s="10" t="s">
        <v>255</v>
      </c>
      <c r="B206" s="11">
        <v>6</v>
      </c>
      <c r="C206" s="9">
        <v>6.6389271983253</v>
      </c>
      <c r="D206" s="9">
        <v>9.5487763034593076</v>
      </c>
      <c r="E206" s="9">
        <v>11.678967294341296</v>
      </c>
      <c r="F206" s="9">
        <v>14.474226070547864</v>
      </c>
      <c r="G206" s="9">
        <v>16.661317172949985</v>
      </c>
      <c r="H206" s="9">
        <v>18.916611547379983</v>
      </c>
      <c r="I206" s="9">
        <v>21.279464495144708</v>
      </c>
      <c r="J206" s="9">
        <v>9999</v>
      </c>
    </row>
    <row r="207" spans="1:10" ht="15.75" thickBot="1" x14ac:dyDescent="0.3">
      <c r="A207" s="10" t="s">
        <v>256</v>
      </c>
      <c r="B207" s="11">
        <v>12</v>
      </c>
      <c r="C207" s="9">
        <v>4.7780257444031919</v>
      </c>
      <c r="D207" s="9">
        <v>6.7053479385487353</v>
      </c>
      <c r="E207" s="9">
        <v>8.1081645763948433</v>
      </c>
      <c r="F207" s="9">
        <v>9.9181630729787607</v>
      </c>
      <c r="G207" s="9">
        <v>11.319410521256676</v>
      </c>
      <c r="H207" s="9">
        <v>12.753725597624195</v>
      </c>
      <c r="I207" s="9">
        <v>14.236964557589557</v>
      </c>
      <c r="J207" s="9">
        <v>9999</v>
      </c>
    </row>
    <row r="208" spans="1:10" ht="15.75" thickBot="1" x14ac:dyDescent="0.3">
      <c r="A208" s="10" t="s">
        <v>257</v>
      </c>
      <c r="B208" s="11">
        <v>24</v>
      </c>
      <c r="C208" s="9">
        <v>3.4387378159438966</v>
      </c>
      <c r="D208" s="9">
        <v>4.708633813184119</v>
      </c>
      <c r="E208" s="9">
        <v>5.6291220911079796</v>
      </c>
      <c r="F208" s="9">
        <v>6.7962154427284052</v>
      </c>
      <c r="G208" s="9">
        <v>7.6902115972413467</v>
      </c>
      <c r="H208" s="9">
        <v>8.5986602945295036</v>
      </c>
      <c r="I208" s="9">
        <v>9.5252002164015384</v>
      </c>
      <c r="J208" s="9">
        <v>9999</v>
      </c>
    </row>
    <row r="209" spans="1:10" ht="15.75" thickBot="1" x14ac:dyDescent="0.3">
      <c r="A209" s="10" t="s">
        <v>258</v>
      </c>
      <c r="B209" s="11">
        <v>8.3333333333333329E-2</v>
      </c>
      <c r="C209" s="9">
        <v>35.662065195664006</v>
      </c>
      <c r="D209" s="9">
        <v>47.782700633676008</v>
      </c>
      <c r="E209" s="9">
        <v>56.387574643522981</v>
      </c>
      <c r="F209" s="9">
        <v>67.756622222769209</v>
      </c>
      <c r="G209" s="9">
        <v>76.445233073466397</v>
      </c>
      <c r="H209" s="9">
        <v>85.550415206549161</v>
      </c>
      <c r="I209" s="9">
        <v>94.74502505485728</v>
      </c>
      <c r="J209" s="9">
        <v>9999</v>
      </c>
    </row>
    <row r="210" spans="1:10" ht="15.75" thickBot="1" x14ac:dyDescent="0.3">
      <c r="A210" s="10" t="s">
        <v>259</v>
      </c>
      <c r="B210" s="11">
        <v>0.16666666666666666</v>
      </c>
      <c r="C210" s="9">
        <v>26.216150423446987</v>
      </c>
      <c r="D210" s="9">
        <v>34.781165537807468</v>
      </c>
      <c r="E210" s="9">
        <v>40.815585269755836</v>
      </c>
      <c r="F210" s="9">
        <v>48.754294725232853</v>
      </c>
      <c r="G210" s="9">
        <v>54.817322784317781</v>
      </c>
      <c r="H210" s="9">
        <v>61.129697421247165</v>
      </c>
      <c r="I210" s="9">
        <v>67.513320302213415</v>
      </c>
      <c r="J210" s="9">
        <v>9999</v>
      </c>
    </row>
    <row r="211" spans="1:10" ht="15.75" thickBot="1" x14ac:dyDescent="0.3">
      <c r="A211" s="10" t="s">
        <v>260</v>
      </c>
      <c r="B211" s="11">
        <v>0.25</v>
      </c>
      <c r="C211" s="9">
        <v>21.897571522849439</v>
      </c>
      <c r="D211" s="9">
        <v>28.884327834171472</v>
      </c>
      <c r="E211" s="9">
        <v>33.784867539079123</v>
      </c>
      <c r="F211" s="9">
        <v>40.21601182968768</v>
      </c>
      <c r="G211" s="9">
        <v>45.126346471366908</v>
      </c>
      <c r="H211" s="9">
        <v>50.218685738717809</v>
      </c>
      <c r="I211" s="9">
        <v>55.373544161883117</v>
      </c>
      <c r="J211" s="9">
        <v>9999</v>
      </c>
    </row>
    <row r="212" spans="1:10" ht="15.75" thickBot="1" x14ac:dyDescent="0.3">
      <c r="A212" s="10" t="s">
        <v>261</v>
      </c>
      <c r="B212" s="11">
        <v>0.5</v>
      </c>
      <c r="C212" s="9">
        <v>16.097498162305222</v>
      </c>
      <c r="D212" s="9">
        <v>21.024985497378527</v>
      </c>
      <c r="E212" s="9">
        <v>24.454840460620591</v>
      </c>
      <c r="F212" s="9">
        <v>28.937441523747648</v>
      </c>
      <c r="G212" s="9">
        <v>32.359185800644596</v>
      </c>
      <c r="H212" s="9">
        <v>35.883555406350766</v>
      </c>
      <c r="I212" s="9">
        <v>39.458027702303255</v>
      </c>
      <c r="J212" s="9">
        <v>9999</v>
      </c>
    </row>
    <row r="213" spans="1:10" ht="15.75" thickBot="1" x14ac:dyDescent="0.3">
      <c r="A213" s="10" t="s">
        <v>262</v>
      </c>
      <c r="B213" s="11">
        <v>1</v>
      </c>
      <c r="C213" s="9">
        <v>11.833707076377227</v>
      </c>
      <c r="D213" s="9">
        <v>15.304147553747544</v>
      </c>
      <c r="E213" s="9">
        <v>17.70139312408584</v>
      </c>
      <c r="F213" s="9">
        <v>20.821943396240975</v>
      </c>
      <c r="G213" s="9">
        <v>23.204114393462898</v>
      </c>
      <c r="H213" s="9">
        <v>25.640446970277896</v>
      </c>
      <c r="I213" s="9">
        <v>28.116964043407979</v>
      </c>
      <c r="J213" s="9">
        <v>9999</v>
      </c>
    </row>
    <row r="214" spans="1:10" ht="15.75" thickBot="1" x14ac:dyDescent="0.3">
      <c r="A214" s="10" t="s">
        <v>263</v>
      </c>
      <c r="B214" s="11">
        <v>2</v>
      </c>
      <c r="C214" s="9">
        <v>8.6992787175722679</v>
      </c>
      <c r="D214" s="9">
        <v>11.139933122716302</v>
      </c>
      <c r="E214" s="9">
        <v>12.81297741598441</v>
      </c>
      <c r="F214" s="9">
        <v>14.982434657896953</v>
      </c>
      <c r="G214" s="9">
        <v>16.63919877657078</v>
      </c>
      <c r="H214" s="9">
        <v>18.321275954703165</v>
      </c>
      <c r="I214" s="9">
        <v>20.035559632701812</v>
      </c>
      <c r="J214" s="9">
        <v>9999</v>
      </c>
    </row>
    <row r="215" spans="1:10" ht="15.75" thickBot="1" x14ac:dyDescent="0.3">
      <c r="A215" s="10" t="s">
        <v>264</v>
      </c>
      <c r="B215" s="11">
        <v>6</v>
      </c>
      <c r="C215" s="9">
        <v>5.3416165572598961</v>
      </c>
      <c r="D215" s="9">
        <v>6.7340162046116836</v>
      </c>
      <c r="E215" s="9">
        <v>7.6769527243706213</v>
      </c>
      <c r="F215" s="9">
        <v>8.8926181629672314</v>
      </c>
      <c r="G215" s="9">
        <v>9.8222769270108738</v>
      </c>
      <c r="H215" s="9">
        <v>10.75471576941138</v>
      </c>
      <c r="I215" s="9">
        <v>11.709743551042306</v>
      </c>
      <c r="J215" s="9">
        <v>9999</v>
      </c>
    </row>
    <row r="216" spans="1:10" ht="15.75" thickBot="1" x14ac:dyDescent="0.3">
      <c r="A216" s="10" t="s">
        <v>265</v>
      </c>
      <c r="B216" s="11">
        <v>12</v>
      </c>
      <c r="C216" s="9">
        <v>3.9267670675036208</v>
      </c>
      <c r="D216" s="9">
        <v>4.9017098079593877</v>
      </c>
      <c r="E216" s="9">
        <v>5.556885901093203</v>
      </c>
      <c r="F216" s="9">
        <v>6.3986856571868787</v>
      </c>
      <c r="G216" s="9">
        <v>7.0433551333078173</v>
      </c>
      <c r="H216" s="9">
        <v>7.6847379319943308</v>
      </c>
      <c r="I216" s="9">
        <v>8.3441179793932374</v>
      </c>
      <c r="J216" s="9">
        <v>9999</v>
      </c>
    </row>
    <row r="217" spans="1:10" ht="15.75" thickBot="1" x14ac:dyDescent="0.3">
      <c r="A217" s="10" t="s">
        <v>266</v>
      </c>
      <c r="B217" s="11">
        <v>24</v>
      </c>
      <c r="C217" s="9">
        <v>2.886672870869782</v>
      </c>
      <c r="D217" s="9">
        <v>3.5679686997175484</v>
      </c>
      <c r="E217" s="9">
        <v>4.0222966099221296</v>
      </c>
      <c r="F217" s="9">
        <v>4.6041758893904223</v>
      </c>
      <c r="G217" s="9">
        <v>5.0506468003840537</v>
      </c>
      <c r="H217" s="9">
        <v>5.491097891345265</v>
      </c>
      <c r="I217" s="9">
        <v>5.9458436942315487</v>
      </c>
      <c r="J217" s="9">
        <v>9999</v>
      </c>
    </row>
    <row r="218" spans="1:10" ht="15.75" thickBot="1" x14ac:dyDescent="0.3">
      <c r="A218" s="10" t="s">
        <v>267</v>
      </c>
      <c r="B218" s="11">
        <v>8.3333333333333329E-2</v>
      </c>
      <c r="C218" s="9">
        <v>40.264983302397155</v>
      </c>
      <c r="D218" s="9">
        <v>55.669411983568146</v>
      </c>
      <c r="E218" s="9">
        <v>67.074256979858376</v>
      </c>
      <c r="F218" s="9">
        <v>82.280981160768675</v>
      </c>
      <c r="G218" s="9">
        <v>94.169223650369929</v>
      </c>
      <c r="H218" s="9">
        <v>106.12606255234699</v>
      </c>
      <c r="I218" s="9">
        <v>118.29381528947712</v>
      </c>
      <c r="J218" s="9">
        <v>9999</v>
      </c>
    </row>
    <row r="219" spans="1:10" ht="15.75" thickBot="1" x14ac:dyDescent="0.3">
      <c r="A219" s="10" t="s">
        <v>268</v>
      </c>
      <c r="B219" s="11">
        <v>0.16666666666666666</v>
      </c>
      <c r="C219" s="9">
        <v>29.611966564560642</v>
      </c>
      <c r="D219" s="9">
        <v>40.548148613475036</v>
      </c>
      <c r="E219" s="9">
        <v>48.592408787429804</v>
      </c>
      <c r="F219" s="9">
        <v>59.251495950734906</v>
      </c>
      <c r="G219" s="9">
        <v>67.556086574660512</v>
      </c>
      <c r="H219" s="9">
        <v>75.905046640737865</v>
      </c>
      <c r="I219" s="9">
        <v>84.389416519306579</v>
      </c>
      <c r="J219" s="9">
        <v>9999</v>
      </c>
    </row>
    <row r="220" spans="1:10" ht="15.75" thickBot="1" x14ac:dyDescent="0.3">
      <c r="A220" s="10" t="s">
        <v>269</v>
      </c>
      <c r="B220" s="11">
        <v>0.25</v>
      </c>
      <c r="C220" s="9">
        <v>24.739903158765525</v>
      </c>
      <c r="D220" s="9">
        <v>33.686315554609784</v>
      </c>
      <c r="E220" s="9">
        <v>40.242135940354736</v>
      </c>
      <c r="F220" s="9">
        <v>48.897154184269773</v>
      </c>
      <c r="G220" s="9">
        <v>55.627155956171848</v>
      </c>
      <c r="H220" s="9">
        <v>62.391947300670324</v>
      </c>
      <c r="I220" s="9">
        <v>69.261064497455919</v>
      </c>
      <c r="J220" s="9">
        <v>9999</v>
      </c>
    </row>
    <row r="221" spans="1:10" ht="15.75" thickBot="1" x14ac:dyDescent="0.3">
      <c r="A221" s="10" t="s">
        <v>270</v>
      </c>
      <c r="B221" s="11">
        <v>0.5</v>
      </c>
      <c r="C221" s="9">
        <v>18.194399328217735</v>
      </c>
      <c r="D221" s="9">
        <v>24.536234184616657</v>
      </c>
      <c r="E221" s="9">
        <v>29.153693356308686</v>
      </c>
      <c r="F221" s="9">
        <v>35.211412069708174</v>
      </c>
      <c r="G221" s="9">
        <v>39.906381490727362</v>
      </c>
      <c r="H221" s="9">
        <v>44.624888137424882</v>
      </c>
      <c r="I221" s="9">
        <v>49.410028801110968</v>
      </c>
      <c r="J221" s="9">
        <v>9999</v>
      </c>
    </row>
    <row r="222" spans="1:10" ht="15.75" thickBot="1" x14ac:dyDescent="0.3">
      <c r="A222" s="10" t="s">
        <v>271</v>
      </c>
      <c r="B222" s="11">
        <v>1</v>
      </c>
      <c r="C222" s="9">
        <v>13.380657344948476</v>
      </c>
      <c r="D222" s="9">
        <v>17.87155342015334</v>
      </c>
      <c r="E222" s="9">
        <v>21.120594532393124</v>
      </c>
      <c r="F222" s="9">
        <v>25.356149261170057</v>
      </c>
      <c r="G222" s="9">
        <v>28.628450552787559</v>
      </c>
      <c r="H222" s="9">
        <v>31.917270215675561</v>
      </c>
      <c r="I222" s="9">
        <v>35.248533412539302</v>
      </c>
      <c r="J222" s="9">
        <v>9999</v>
      </c>
    </row>
    <row r="223" spans="1:10" ht="15.75" thickBot="1" x14ac:dyDescent="0.3">
      <c r="A223" s="10" t="s">
        <v>272</v>
      </c>
      <c r="B223" s="11">
        <v>2</v>
      </c>
      <c r="C223" s="9">
        <v>9.8405002414807381</v>
      </c>
      <c r="D223" s="9">
        <v>13.017173672463649</v>
      </c>
      <c r="E223" s="9">
        <v>15.300960600425103</v>
      </c>
      <c r="F223" s="9">
        <v>18.259259358355614</v>
      </c>
      <c r="G223" s="9">
        <v>20.537772417272198</v>
      </c>
      <c r="H223" s="9">
        <v>22.828340429297398</v>
      </c>
      <c r="I223" s="9">
        <v>25.145889162221327</v>
      </c>
      <c r="J223" s="9">
        <v>9999</v>
      </c>
    </row>
    <row r="224" spans="1:10" ht="15.75" thickBot="1" x14ac:dyDescent="0.3">
      <c r="A224" s="10" t="s">
        <v>273</v>
      </c>
      <c r="B224" s="11">
        <v>6</v>
      </c>
      <c r="C224" s="9">
        <v>6.0462715501374227</v>
      </c>
      <c r="D224" s="9">
        <v>7.8768681819236868</v>
      </c>
      <c r="E224" s="9">
        <v>9.1800247103030852</v>
      </c>
      <c r="F224" s="9">
        <v>10.85093793900676</v>
      </c>
      <c r="G224" s="9">
        <v>12.131966527510786</v>
      </c>
      <c r="H224" s="9">
        <v>13.420874936577833</v>
      </c>
      <c r="I224" s="9">
        <v>14.722925681689603</v>
      </c>
      <c r="J224" s="9">
        <v>9999</v>
      </c>
    </row>
    <row r="225" spans="1:10" ht="15.75" thickBot="1" x14ac:dyDescent="0.3">
      <c r="A225" s="10" t="s">
        <v>274</v>
      </c>
      <c r="B225" s="11">
        <v>12</v>
      </c>
      <c r="C225" s="9">
        <v>4.4465929524491923</v>
      </c>
      <c r="D225" s="9">
        <v>5.7373054657676121</v>
      </c>
      <c r="E225" s="9">
        <v>6.6505323128023157</v>
      </c>
      <c r="F225" s="9">
        <v>7.8138871982883442</v>
      </c>
      <c r="G225" s="9">
        <v>8.7033549739812752</v>
      </c>
      <c r="H225" s="9">
        <v>9.5990759811518274</v>
      </c>
      <c r="I225" s="9">
        <v>10.503162018187291</v>
      </c>
      <c r="J225" s="9">
        <v>9999</v>
      </c>
    </row>
    <row r="226" spans="1:10" ht="15.75" thickBot="1" x14ac:dyDescent="0.3">
      <c r="A226" s="10" t="s">
        <v>275</v>
      </c>
      <c r="B226" s="11">
        <v>24</v>
      </c>
      <c r="C226" s="9">
        <v>3.2701456957091906</v>
      </c>
      <c r="D226" s="9">
        <v>4.1789037530253568</v>
      </c>
      <c r="E226" s="9">
        <v>4.8180240728532251</v>
      </c>
      <c r="F226" s="9">
        <v>5.6268714733026384</v>
      </c>
      <c r="G226" s="9">
        <v>6.2437023405360907</v>
      </c>
      <c r="H226" s="9">
        <v>6.8655926031169114</v>
      </c>
      <c r="I226" s="9">
        <v>7.4928322512344758</v>
      </c>
      <c r="J226" s="9">
        <v>9999</v>
      </c>
    </row>
    <row r="227" spans="1:10" ht="15.75" thickBot="1" x14ac:dyDescent="0.3">
      <c r="A227" s="10" t="s">
        <v>276</v>
      </c>
      <c r="B227" s="11">
        <v>8.3333333333333329E-2</v>
      </c>
      <c r="C227" s="9">
        <v>47.73030929312651</v>
      </c>
      <c r="D227" s="9">
        <v>68.042355407490334</v>
      </c>
      <c r="E227" s="9">
        <v>82.644500946848936</v>
      </c>
      <c r="F227" s="9">
        <v>101.53780507946134</v>
      </c>
      <c r="G227" s="9">
        <v>115.96070804887775</v>
      </c>
      <c r="H227" s="9">
        <v>131.05022490761229</v>
      </c>
      <c r="I227" s="9">
        <v>146.48593898470179</v>
      </c>
      <c r="J227" s="9">
        <v>9999</v>
      </c>
    </row>
    <row r="228" spans="1:10" ht="15.75" thickBot="1" x14ac:dyDescent="0.3">
      <c r="A228" s="10" t="s">
        <v>277</v>
      </c>
      <c r="B228" s="11">
        <v>0.16666666666666666</v>
      </c>
      <c r="C228" s="9">
        <v>35.143227424830883</v>
      </c>
      <c r="D228" s="9">
        <v>49.57173915709388</v>
      </c>
      <c r="E228" s="9">
        <v>59.83239124431055</v>
      </c>
      <c r="F228" s="9">
        <v>73.085544825910546</v>
      </c>
      <c r="G228" s="9">
        <v>83.195267509041514</v>
      </c>
      <c r="H228" s="9">
        <v>93.708514823817595</v>
      </c>
      <c r="I228" s="9">
        <v>104.46075996449262</v>
      </c>
      <c r="J228" s="9">
        <v>9999</v>
      </c>
    </row>
    <row r="229" spans="1:10" ht="15.75" thickBot="1" x14ac:dyDescent="0.3">
      <c r="A229" s="10" t="s">
        <v>278</v>
      </c>
      <c r="B229" s="11">
        <v>0.25</v>
      </c>
      <c r="C229" s="9">
        <v>29.381188152663373</v>
      </c>
      <c r="D229" s="9">
        <v>41.188443598305426</v>
      </c>
      <c r="E229" s="9">
        <v>49.531242623322534</v>
      </c>
      <c r="F229" s="9">
        <v>60.297737727344142</v>
      </c>
      <c r="G229" s="9">
        <v>68.507776522739292</v>
      </c>
      <c r="H229" s="9">
        <v>77.014795794326815</v>
      </c>
      <c r="I229" s="9">
        <v>85.714771948906304</v>
      </c>
      <c r="J229" s="9">
        <v>9999</v>
      </c>
    </row>
    <row r="230" spans="1:10" ht="15.75" thickBot="1" x14ac:dyDescent="0.3">
      <c r="A230" s="10" t="s">
        <v>279</v>
      </c>
      <c r="B230" s="11">
        <v>0.5</v>
      </c>
      <c r="C230" s="9">
        <v>21.632999922954408</v>
      </c>
      <c r="D230" s="9">
        <v>30.007526490141213</v>
      </c>
      <c r="E230" s="9">
        <v>35.859284689267639</v>
      </c>
      <c r="F230" s="9">
        <v>43.401499669251933</v>
      </c>
      <c r="G230" s="9">
        <v>49.150465620273422</v>
      </c>
      <c r="H230" s="9">
        <v>55.070047673964368</v>
      </c>
      <c r="I230" s="9">
        <v>61.124161677394959</v>
      </c>
      <c r="J230" s="9">
        <v>9999</v>
      </c>
    </row>
    <row r="231" spans="1:10" ht="15.75" thickBot="1" x14ac:dyDescent="0.3">
      <c r="A231" s="10" t="s">
        <v>280</v>
      </c>
      <c r="B231" s="11">
        <v>1</v>
      </c>
      <c r="C231" s="9">
        <v>15.928106216634498</v>
      </c>
      <c r="D231" s="9">
        <v>21.861754594037951</v>
      </c>
      <c r="E231" s="9">
        <v>25.961155632717052</v>
      </c>
      <c r="F231" s="9">
        <v>31.239815033489215</v>
      </c>
      <c r="G231" s="9">
        <v>35.262686855525537</v>
      </c>
      <c r="H231" s="9">
        <v>39.37827945310358</v>
      </c>
      <c r="I231" s="9">
        <v>43.588322710482238</v>
      </c>
      <c r="J231" s="9">
        <v>9999</v>
      </c>
    </row>
    <row r="232" spans="1:10" ht="15.75" thickBot="1" x14ac:dyDescent="0.3">
      <c r="A232" s="10" t="s">
        <v>281</v>
      </c>
      <c r="B232" s="11">
        <v>2</v>
      </c>
      <c r="C232" s="9">
        <v>11.727664612025862</v>
      </c>
      <c r="D232" s="9">
        <v>15.927214596876636</v>
      </c>
      <c r="E232" s="9">
        <v>18.795176970941444</v>
      </c>
      <c r="F232" s="9">
        <v>22.485998197385324</v>
      </c>
      <c r="G232" s="9">
        <v>25.298988902313805</v>
      </c>
      <c r="H232" s="9">
        <v>28.15775468122256</v>
      </c>
      <c r="I232" s="9">
        <v>31.083319992849592</v>
      </c>
      <c r="J232" s="9">
        <v>9999</v>
      </c>
    </row>
    <row r="233" spans="1:10" ht="15.75" thickBot="1" x14ac:dyDescent="0.3">
      <c r="A233" s="10" t="s">
        <v>282</v>
      </c>
      <c r="B233" s="11">
        <v>6</v>
      </c>
      <c r="C233" s="9">
        <v>7.2191596002685978</v>
      </c>
      <c r="D233" s="9">
        <v>9.6413061566258396</v>
      </c>
      <c r="E233" s="9">
        <v>11.264493826330984</v>
      </c>
      <c r="F233" s="9">
        <v>13.353201999810912</v>
      </c>
      <c r="G233" s="9">
        <v>14.946247803527008</v>
      </c>
      <c r="H233" s="9">
        <v>16.547577299694819</v>
      </c>
      <c r="I233" s="9">
        <v>18.188091656225296</v>
      </c>
      <c r="J233" s="9">
        <v>9999</v>
      </c>
    </row>
    <row r="234" spans="1:10" ht="15.75" thickBot="1" x14ac:dyDescent="0.3">
      <c r="A234" s="10" t="s">
        <v>283</v>
      </c>
      <c r="B234" s="11">
        <v>12</v>
      </c>
      <c r="C234" s="9">
        <v>5.315376569012213</v>
      </c>
      <c r="D234" s="9">
        <v>7.0241000780717613</v>
      </c>
      <c r="E234" s="9">
        <v>8.1551899287239138</v>
      </c>
      <c r="F234" s="9">
        <v>9.6114549902164992</v>
      </c>
      <c r="G234" s="9">
        <v>10.723089787850668</v>
      </c>
      <c r="H234" s="9">
        <v>11.832477920430089</v>
      </c>
      <c r="I234" s="9">
        <v>12.970131398833859</v>
      </c>
      <c r="J234" s="9">
        <v>9999</v>
      </c>
    </row>
    <row r="235" spans="1:10" ht="15.75" thickBot="1" x14ac:dyDescent="0.3">
      <c r="A235" s="10" t="s">
        <v>284</v>
      </c>
      <c r="B235" s="11">
        <v>24</v>
      </c>
      <c r="C235" s="9">
        <v>3.91364502723459</v>
      </c>
      <c r="D235" s="9">
        <v>5.1173545477404989</v>
      </c>
      <c r="E235" s="9">
        <v>5.9041377090640497</v>
      </c>
      <c r="F235" s="9">
        <v>6.9181958776828036</v>
      </c>
      <c r="G235" s="9">
        <v>7.6932121098094752</v>
      </c>
      <c r="H235" s="9">
        <v>8.4609082768900361</v>
      </c>
      <c r="I235" s="9">
        <v>9.2491456323532031</v>
      </c>
      <c r="J235" s="9">
        <v>9999</v>
      </c>
    </row>
    <row r="236" spans="1:10" ht="15.75" thickBot="1" x14ac:dyDescent="0.3">
      <c r="A236" s="10" t="s">
        <v>285</v>
      </c>
      <c r="B236" s="11">
        <v>8.3333333333333329E-2</v>
      </c>
      <c r="C236" s="9">
        <v>47.460664130466377</v>
      </c>
      <c r="D236" s="9">
        <v>68.49172516221698</v>
      </c>
      <c r="E236" s="9">
        <v>82.040847484468429</v>
      </c>
      <c r="F236" s="9">
        <v>100.28383917964771</v>
      </c>
      <c r="G236" s="9">
        <v>113.91607434052129</v>
      </c>
      <c r="H236" s="9">
        <v>128.78628663639262</v>
      </c>
      <c r="I236" s="9">
        <v>143.34182752948044</v>
      </c>
      <c r="J236" s="9">
        <v>9999</v>
      </c>
    </row>
    <row r="237" spans="1:10" ht="15.75" thickBot="1" x14ac:dyDescent="0.3">
      <c r="A237" s="10" t="s">
        <v>286</v>
      </c>
      <c r="B237" s="11">
        <v>0.16666666666666666</v>
      </c>
      <c r="C237" s="9">
        <v>34.970720728109228</v>
      </c>
      <c r="D237" s="9">
        <v>49.922358322468746</v>
      </c>
      <c r="E237" s="9">
        <v>59.479764089976932</v>
      </c>
      <c r="F237" s="9">
        <v>72.252383401825313</v>
      </c>
      <c r="G237" s="9">
        <v>81.826862414192107</v>
      </c>
      <c r="H237" s="9">
        <v>92.136042056407049</v>
      </c>
      <c r="I237" s="9">
        <v>102.2852073175185</v>
      </c>
      <c r="J237" s="9">
        <v>9999</v>
      </c>
    </row>
    <row r="238" spans="1:10" ht="15.75" thickBot="1" x14ac:dyDescent="0.3">
      <c r="A238" s="10" t="s">
        <v>287</v>
      </c>
      <c r="B238" s="11">
        <v>0.25</v>
      </c>
      <c r="C238" s="9">
        <v>29.249702823503675</v>
      </c>
      <c r="D238" s="9">
        <v>41.491064882812182</v>
      </c>
      <c r="E238" s="9">
        <v>49.280243792836323</v>
      </c>
      <c r="F238" s="9">
        <v>59.643886371340351</v>
      </c>
      <c r="G238" s="9">
        <v>67.428446941192163</v>
      </c>
      <c r="H238" s="9">
        <v>75.744755065887659</v>
      </c>
      <c r="I238" s="9">
        <v>83.961591639929978</v>
      </c>
      <c r="J238" s="9">
        <v>9999</v>
      </c>
    </row>
    <row r="239" spans="1:10" ht="15.75" thickBot="1" x14ac:dyDescent="0.3">
      <c r="A239" s="10" t="s">
        <v>288</v>
      </c>
      <c r="B239" s="11">
        <v>0.5</v>
      </c>
      <c r="C239" s="9">
        <v>21.552230832865998</v>
      </c>
      <c r="D239" s="9">
        <v>30.242073817746185</v>
      </c>
      <c r="E239" s="9">
        <v>35.72826664972434</v>
      </c>
      <c r="F239" s="9">
        <v>42.972157637055929</v>
      </c>
      <c r="G239" s="9">
        <v>48.434413515397623</v>
      </c>
      <c r="H239" s="9">
        <v>54.189169674613424</v>
      </c>
      <c r="I239" s="9">
        <v>59.912929502958974</v>
      </c>
      <c r="J239" s="9">
        <v>9999</v>
      </c>
    </row>
    <row r="240" spans="1:10" ht="15.75" thickBot="1" x14ac:dyDescent="0.3">
      <c r="A240" s="10" t="s">
        <v>289</v>
      </c>
      <c r="B240" s="11">
        <v>1</v>
      </c>
      <c r="C240" s="9">
        <v>15.880457202453719</v>
      </c>
      <c r="D240" s="9">
        <v>22.04289119551806</v>
      </c>
      <c r="E240" s="9">
        <v>25.903058498654708</v>
      </c>
      <c r="F240" s="9">
        <v>30.960529977659235</v>
      </c>
      <c r="G240" s="9">
        <v>34.790841536458721</v>
      </c>
      <c r="H240" s="9">
        <v>38.767913467668031</v>
      </c>
      <c r="I240" s="9">
        <v>42.752394892898025</v>
      </c>
      <c r="J240" s="9">
        <v>9999</v>
      </c>
    </row>
    <row r="241" spans="1:10" ht="15.75" thickBot="1" x14ac:dyDescent="0.3">
      <c r="A241" s="10" t="s">
        <v>290</v>
      </c>
      <c r="B241" s="11">
        <v>2</v>
      </c>
      <c r="C241" s="9">
        <v>11.701290827601456</v>
      </c>
      <c r="D241" s="9">
        <v>16.066657835228408</v>
      </c>
      <c r="E241" s="9">
        <v>18.779764665406866</v>
      </c>
      <c r="F241" s="9">
        <v>22.306406501472747</v>
      </c>
      <c r="G241" s="9">
        <v>24.990550457066782</v>
      </c>
      <c r="H241" s="9">
        <v>27.735267465090907</v>
      </c>
      <c r="I241" s="9">
        <v>30.507058897662876</v>
      </c>
      <c r="J241" s="9">
        <v>9999</v>
      </c>
    </row>
    <row r="242" spans="1:10" ht="15.75" thickBot="1" x14ac:dyDescent="0.3">
      <c r="A242" s="10" t="s">
        <v>291</v>
      </c>
      <c r="B242" s="11">
        <v>6</v>
      </c>
      <c r="C242" s="9">
        <v>7.2114304683533872</v>
      </c>
      <c r="D242" s="9">
        <v>9.7328946104447489</v>
      </c>
      <c r="E242" s="9">
        <v>11.280617027494133</v>
      </c>
      <c r="F242" s="9">
        <v>13.266751508619718</v>
      </c>
      <c r="G242" s="9">
        <v>14.792240825367983</v>
      </c>
      <c r="H242" s="9">
        <v>16.312303861679528</v>
      </c>
      <c r="I242" s="9">
        <v>17.86932164496136</v>
      </c>
      <c r="J242" s="9">
        <v>9999</v>
      </c>
    </row>
    <row r="243" spans="1:10" ht="15.75" thickBot="1" x14ac:dyDescent="0.3">
      <c r="A243" s="10" t="s">
        <v>292</v>
      </c>
      <c r="B243" s="11">
        <v>12</v>
      </c>
      <c r="C243" s="9">
        <v>5.313640792419438</v>
      </c>
      <c r="D243" s="9">
        <v>7.0941278104276044</v>
      </c>
      <c r="E243" s="9">
        <v>8.1784679236980384</v>
      </c>
      <c r="F243" s="9">
        <v>9.558413642106272</v>
      </c>
      <c r="G243" s="9">
        <v>10.625389452912589</v>
      </c>
      <c r="H243" s="9">
        <v>11.670117633564024</v>
      </c>
      <c r="I243" s="9">
        <v>12.751109013887694</v>
      </c>
      <c r="J243" s="9">
        <v>9999</v>
      </c>
    </row>
    <row r="244" spans="1:10" ht="15.75" thickBot="1" x14ac:dyDescent="0.3">
      <c r="A244" s="10" t="s">
        <v>293</v>
      </c>
      <c r="B244" s="11">
        <v>24</v>
      </c>
      <c r="C244" s="9">
        <v>3.9152812461784481</v>
      </c>
      <c r="D244" s="9">
        <v>5.1707792393718988</v>
      </c>
      <c r="E244" s="9">
        <v>5.9294041643230919</v>
      </c>
      <c r="F244" s="9">
        <v>6.8866347043767613</v>
      </c>
      <c r="G244" s="9">
        <v>7.6323055011685526</v>
      </c>
      <c r="H244" s="9">
        <v>8.3490135259900438</v>
      </c>
      <c r="I244" s="9">
        <v>9.0988781955186298</v>
      </c>
      <c r="J244" s="9">
        <v>9999</v>
      </c>
    </row>
    <row r="245" spans="1:10" ht="15.75" thickBot="1" x14ac:dyDescent="0.3">
      <c r="A245" s="10" t="s">
        <v>294</v>
      </c>
      <c r="B245" s="11">
        <v>8.3333333333333329E-2</v>
      </c>
      <c r="C245" s="9">
        <v>54.718762407488015</v>
      </c>
      <c r="D245" s="9">
        <v>80.072153030941536</v>
      </c>
      <c r="E245" s="9">
        <v>99.156757227830028</v>
      </c>
      <c r="F245" s="9">
        <v>124.3798080090684</v>
      </c>
      <c r="G245" s="9">
        <v>144.00938495904418</v>
      </c>
      <c r="H245" s="9">
        <v>164.12641067531567</v>
      </c>
      <c r="I245" s="9">
        <v>184.37795625436524</v>
      </c>
      <c r="J245" s="9">
        <v>9999</v>
      </c>
    </row>
    <row r="246" spans="1:10" ht="15.75" thickBot="1" x14ac:dyDescent="0.3">
      <c r="A246" s="10" t="s">
        <v>295</v>
      </c>
      <c r="B246" s="11">
        <v>0.16666666666666666</v>
      </c>
      <c r="C246" s="9">
        <v>40.319966542063689</v>
      </c>
      <c r="D246" s="9">
        <v>58.372019027820862</v>
      </c>
      <c r="E246" s="9">
        <v>71.871604850092154</v>
      </c>
      <c r="F246" s="9">
        <v>89.633451055721153</v>
      </c>
      <c r="G246" s="9">
        <v>103.4014530705273</v>
      </c>
      <c r="H246" s="9">
        <v>117.45851869353366</v>
      </c>
      <c r="I246" s="9">
        <v>131.63969524418167</v>
      </c>
      <c r="J246" s="9">
        <v>9999</v>
      </c>
    </row>
    <row r="247" spans="1:10" ht="15.75" thickBot="1" x14ac:dyDescent="0.3">
      <c r="A247" s="10" t="s">
        <v>296</v>
      </c>
      <c r="B247" s="11">
        <v>0.25</v>
      </c>
      <c r="C247" s="9">
        <v>33.724437579536023</v>
      </c>
      <c r="D247" s="9">
        <v>48.518005622102947</v>
      </c>
      <c r="E247" s="9">
        <v>59.538799619720294</v>
      </c>
      <c r="F247" s="9">
        <v>74.001716114095302</v>
      </c>
      <c r="G247" s="9">
        <v>85.186643505010565</v>
      </c>
      <c r="H247" s="9">
        <v>96.581290885256976</v>
      </c>
      <c r="I247" s="9">
        <v>108.09208896177157</v>
      </c>
      <c r="J247" s="9">
        <v>9999</v>
      </c>
    </row>
    <row r="248" spans="1:10" ht="15.75" thickBot="1" x14ac:dyDescent="0.3">
      <c r="A248" s="10" t="s">
        <v>297</v>
      </c>
      <c r="B248" s="11">
        <v>0.5</v>
      </c>
      <c r="C248" s="9">
        <v>24.850126995392888</v>
      </c>
      <c r="D248" s="9">
        <v>35.369274337745516</v>
      </c>
      <c r="E248" s="9">
        <v>43.155395548941357</v>
      </c>
      <c r="F248" s="9">
        <v>53.328826483383253</v>
      </c>
      <c r="G248" s="9">
        <v>61.165615859856494</v>
      </c>
      <c r="H248" s="9">
        <v>69.119255787135359</v>
      </c>
      <c r="I248" s="9">
        <v>77.17413696463889</v>
      </c>
      <c r="J248" s="9">
        <v>9999</v>
      </c>
    </row>
    <row r="249" spans="1:10" ht="15.75" thickBot="1" x14ac:dyDescent="0.3">
      <c r="A249" s="10" t="s">
        <v>298</v>
      </c>
      <c r="B249" s="11">
        <v>1</v>
      </c>
      <c r="C249" s="9">
        <v>18.311018834065617</v>
      </c>
      <c r="D249" s="9">
        <v>25.783944561167264</v>
      </c>
      <c r="E249" s="9">
        <v>31.28024375501067</v>
      </c>
      <c r="F249" s="9">
        <v>38.43105110846345</v>
      </c>
      <c r="G249" s="9">
        <v>43.918065198747655</v>
      </c>
      <c r="H249" s="9">
        <v>49.465807267406504</v>
      </c>
      <c r="I249" s="9">
        <v>55.0997531220182</v>
      </c>
      <c r="J249" s="9">
        <v>9999</v>
      </c>
    </row>
    <row r="250" spans="1:10" ht="15.75" thickBot="1" x14ac:dyDescent="0.3">
      <c r="A250" s="10" t="s">
        <v>299</v>
      </c>
      <c r="B250" s="11">
        <v>2</v>
      </c>
      <c r="C250" s="9">
        <v>13.492623631407108</v>
      </c>
      <c r="D250" s="9">
        <v>18.796308648715204</v>
      </c>
      <c r="E250" s="9">
        <v>22.672799934442644</v>
      </c>
      <c r="F250" s="9">
        <v>27.695072003160085</v>
      </c>
      <c r="G250" s="9">
        <v>31.53399869659998</v>
      </c>
      <c r="H250" s="9">
        <v>35.400642856337328</v>
      </c>
      <c r="I250" s="9">
        <v>39.339381216513495</v>
      </c>
      <c r="J250" s="9">
        <v>9999</v>
      </c>
    </row>
    <row r="251" spans="1:10" ht="15.75" thickBot="1" x14ac:dyDescent="0.3">
      <c r="A251" s="10" t="s">
        <v>300</v>
      </c>
      <c r="B251" s="11">
        <v>6</v>
      </c>
      <c r="C251" s="9">
        <v>8.3158156986988558</v>
      </c>
      <c r="D251" s="9">
        <v>11.389220523903566</v>
      </c>
      <c r="E251" s="9">
        <v>13.613911243720191</v>
      </c>
      <c r="F251" s="9">
        <v>16.477617138529876</v>
      </c>
      <c r="G251" s="9">
        <v>18.653475299673698</v>
      </c>
      <c r="H251" s="9">
        <v>20.831746524919453</v>
      </c>
      <c r="I251" s="9">
        <v>23.062821502859272</v>
      </c>
      <c r="J251" s="9">
        <v>9999</v>
      </c>
    </row>
    <row r="252" spans="1:10" ht="15.75" thickBot="1" x14ac:dyDescent="0.3">
      <c r="A252" s="10" t="s">
        <v>301</v>
      </c>
      <c r="B252" s="11">
        <v>12</v>
      </c>
      <c r="C252" s="9">
        <v>6.1275766481082243</v>
      </c>
      <c r="D252" s="9">
        <v>8.3026591888499599</v>
      </c>
      <c r="E252" s="9">
        <v>9.8677455448115889</v>
      </c>
      <c r="F252" s="9">
        <v>11.874481179402103</v>
      </c>
      <c r="G252" s="9">
        <v>13.393546895224874</v>
      </c>
      <c r="H252" s="9">
        <v>14.908423809113437</v>
      </c>
      <c r="I252" s="9">
        <v>16.466083341974759</v>
      </c>
      <c r="J252" s="9">
        <v>9999</v>
      </c>
    </row>
    <row r="253" spans="1:10" ht="15.75" thickBot="1" x14ac:dyDescent="0.3">
      <c r="A253" s="10" t="s">
        <v>302</v>
      </c>
      <c r="B253" s="11">
        <v>24</v>
      </c>
      <c r="C253" s="9">
        <v>4.5151548493692681</v>
      </c>
      <c r="D253" s="9">
        <v>6.0525783534980704</v>
      </c>
      <c r="E253" s="9">
        <v>7.1524193447393598</v>
      </c>
      <c r="F253" s="9">
        <v>8.5572629886067979</v>
      </c>
      <c r="G253" s="9">
        <v>9.6168191477823939</v>
      </c>
      <c r="H253" s="9">
        <v>10.669345472606736</v>
      </c>
      <c r="I253" s="9">
        <v>11.756232887257282</v>
      </c>
      <c r="J253" s="9">
        <v>9999</v>
      </c>
    </row>
    <row r="254" spans="1:10" ht="15.75" thickBot="1" x14ac:dyDescent="0.3">
      <c r="A254" s="10" t="s">
        <v>303</v>
      </c>
      <c r="B254" s="11">
        <v>8.3333333333333329E-2</v>
      </c>
      <c r="C254" s="9">
        <v>39.248898823402669</v>
      </c>
      <c r="D254" s="9">
        <v>55.36771027315352</v>
      </c>
      <c r="E254" s="9">
        <v>68.072428895349574</v>
      </c>
      <c r="F254" s="9">
        <v>86.184494964852007</v>
      </c>
      <c r="G254" s="9">
        <v>101.640828737142</v>
      </c>
      <c r="H254" s="9">
        <v>118.66631984018005</v>
      </c>
      <c r="I254" s="9">
        <v>137.73884769754559</v>
      </c>
      <c r="J254" s="9">
        <v>9999</v>
      </c>
    </row>
    <row r="255" spans="1:10" ht="15.75" thickBot="1" x14ac:dyDescent="0.3">
      <c r="A255" s="10" t="s">
        <v>304</v>
      </c>
      <c r="B255" s="11">
        <v>0.16666666666666666</v>
      </c>
      <c r="C255" s="9">
        <v>28.796440251317978</v>
      </c>
      <c r="D255" s="9">
        <v>39.976364412714865</v>
      </c>
      <c r="E255" s="9">
        <v>48.595857643165679</v>
      </c>
      <c r="F255" s="9">
        <v>60.685283161522172</v>
      </c>
      <c r="G255" s="9">
        <v>70.817036947959821</v>
      </c>
      <c r="H255" s="9">
        <v>81.847483662032289</v>
      </c>
      <c r="I255" s="9">
        <v>94.029563564522718</v>
      </c>
      <c r="J255" s="9">
        <v>9999</v>
      </c>
    </row>
    <row r="256" spans="1:10" ht="15.75" thickBot="1" x14ac:dyDescent="0.3">
      <c r="A256" s="10" t="s">
        <v>305</v>
      </c>
      <c r="B256" s="11">
        <v>0.25</v>
      </c>
      <c r="C256" s="9">
        <v>24.025253276126467</v>
      </c>
      <c r="D256" s="9">
        <v>33.041399788030503</v>
      </c>
      <c r="E256" s="9">
        <v>39.900388330019837</v>
      </c>
      <c r="F256" s="9">
        <v>49.42729311428328</v>
      </c>
      <c r="G256" s="9">
        <v>57.324374609161381</v>
      </c>
      <c r="H256" s="9">
        <v>65.862457035559942</v>
      </c>
      <c r="I256" s="9">
        <v>75.21116273660958</v>
      </c>
      <c r="J256" s="9">
        <v>9999</v>
      </c>
    </row>
    <row r="257" spans="1:10" ht="15.75" thickBot="1" x14ac:dyDescent="0.3">
      <c r="A257" s="10" t="s">
        <v>306</v>
      </c>
      <c r="B257" s="11">
        <v>0.5</v>
      </c>
      <c r="C257" s="9">
        <v>17.627036457803438</v>
      </c>
      <c r="D257" s="9">
        <v>23.856414363462815</v>
      </c>
      <c r="E257" s="9">
        <v>28.484272159196269</v>
      </c>
      <c r="F257" s="9">
        <v>34.80335157467831</v>
      </c>
      <c r="G257" s="9">
        <v>39.940075313772169</v>
      </c>
      <c r="H257" s="9">
        <v>45.427180883501457</v>
      </c>
      <c r="I257" s="9">
        <v>51.344068325828694</v>
      </c>
      <c r="J257" s="9">
        <v>9999</v>
      </c>
    </row>
    <row r="258" spans="1:10" ht="15.75" thickBot="1" x14ac:dyDescent="0.3">
      <c r="A258" s="10" t="s">
        <v>307</v>
      </c>
      <c r="B258" s="11">
        <v>1</v>
      </c>
      <c r="C258" s="9">
        <v>12.932742506963784</v>
      </c>
      <c r="D258" s="9">
        <v>17.224709302037684</v>
      </c>
      <c r="E258" s="9">
        <v>20.334482805740656</v>
      </c>
      <c r="F258" s="9">
        <v>24.506162577627272</v>
      </c>
      <c r="G258" s="9">
        <v>27.827771815147766</v>
      </c>
      <c r="H258" s="9">
        <v>31.332398697306147</v>
      </c>
      <c r="I258" s="9">
        <v>35.050825653093767</v>
      </c>
      <c r="J258" s="9">
        <v>9999</v>
      </c>
    </row>
    <row r="259" spans="1:10" ht="15.75" thickBot="1" x14ac:dyDescent="0.3">
      <c r="A259" s="10" t="s">
        <v>308</v>
      </c>
      <c r="B259" s="11">
        <v>2</v>
      </c>
      <c r="C259" s="9">
        <v>9.4885960638825502</v>
      </c>
      <c r="D259" s="9">
        <v>12.43651313309257</v>
      </c>
      <c r="E259" s="9">
        <v>14.516473816357111</v>
      </c>
      <c r="F259" s="9">
        <v>17.255579624062406</v>
      </c>
      <c r="G259" s="9">
        <v>19.388668601957001</v>
      </c>
      <c r="H259" s="9">
        <v>21.610832744487983</v>
      </c>
      <c r="I259" s="9">
        <v>23.927990496723989</v>
      </c>
      <c r="J259" s="9">
        <v>9999</v>
      </c>
    </row>
    <row r="260" spans="1:10" ht="15.75" thickBot="1" x14ac:dyDescent="0.3">
      <c r="A260" s="10" t="s">
        <v>309</v>
      </c>
      <c r="B260" s="11">
        <v>6</v>
      </c>
      <c r="C260" s="9">
        <v>5.8082119627189961</v>
      </c>
      <c r="D260" s="9">
        <v>7.4216506402802915</v>
      </c>
      <c r="E260" s="9">
        <v>8.5087744312115046</v>
      </c>
      <c r="F260" s="9">
        <v>9.896172069967081</v>
      </c>
      <c r="G260" s="9">
        <v>10.935008263124482</v>
      </c>
      <c r="H260" s="9">
        <v>11.994494689423853</v>
      </c>
      <c r="I260" s="9">
        <v>13.065682030104742</v>
      </c>
      <c r="J260" s="9">
        <v>9999</v>
      </c>
    </row>
    <row r="261" spans="1:10" ht="15.75" thickBot="1" x14ac:dyDescent="0.3">
      <c r="A261" s="10" t="s">
        <v>310</v>
      </c>
      <c r="B261" s="11">
        <v>12</v>
      </c>
      <c r="C261" s="9">
        <v>4.2614145559594512</v>
      </c>
      <c r="D261" s="9">
        <v>5.3585493977626477</v>
      </c>
      <c r="E261" s="9">
        <v>6.0742829025924516</v>
      </c>
      <c r="F261" s="9">
        <v>6.968213998655072</v>
      </c>
      <c r="G261" s="9">
        <v>7.6188367786591398</v>
      </c>
      <c r="H261" s="9">
        <v>8.2729388545050746</v>
      </c>
      <c r="I261" s="9">
        <v>8.9194907573302427</v>
      </c>
      <c r="J261" s="9">
        <v>9999</v>
      </c>
    </row>
    <row r="262" spans="1:10" ht="15.75" thickBot="1" x14ac:dyDescent="0.3">
      <c r="A262" s="10" t="s">
        <v>311</v>
      </c>
      <c r="B262" s="11">
        <v>24</v>
      </c>
      <c r="C262" s="9">
        <v>3.1265480898947802</v>
      </c>
      <c r="D262" s="9">
        <v>3.868957599865952</v>
      </c>
      <c r="E262" s="9">
        <v>4.3363369283105433</v>
      </c>
      <c r="F262" s="9">
        <v>4.9065442665867112</v>
      </c>
      <c r="G262" s="9">
        <v>5.3083337902538883</v>
      </c>
      <c r="H262" s="9">
        <v>5.7060775849713838</v>
      </c>
      <c r="I262" s="9">
        <v>6.0890288916254818</v>
      </c>
      <c r="J262" s="9">
        <v>9999</v>
      </c>
    </row>
    <row r="263" spans="1:10" ht="15.75" thickBot="1" x14ac:dyDescent="0.3">
      <c r="A263" s="10" t="s">
        <v>312</v>
      </c>
      <c r="B263" s="11">
        <v>8.3333333333333329E-2</v>
      </c>
      <c r="C263" s="9">
        <v>44.25028619120674</v>
      </c>
      <c r="D263" s="9">
        <v>64.081214687472951</v>
      </c>
      <c r="E263" s="9">
        <v>80.241904084495033</v>
      </c>
      <c r="F263" s="9">
        <v>103.33841808184776</v>
      </c>
      <c r="G263" s="9">
        <v>123.00165214461457</v>
      </c>
      <c r="H263" s="9">
        <v>144.70297317248981</v>
      </c>
      <c r="I263" s="9">
        <v>169.29851290722712</v>
      </c>
      <c r="J263" s="9">
        <v>9999</v>
      </c>
    </row>
    <row r="264" spans="1:10" ht="15.75" thickBot="1" x14ac:dyDescent="0.3">
      <c r="A264" s="10" t="s">
        <v>313</v>
      </c>
      <c r="B264" s="11">
        <v>0.16666666666666666</v>
      </c>
      <c r="C264" s="9">
        <v>32.550462610296215</v>
      </c>
      <c r="D264" s="9">
        <v>46.361054799428594</v>
      </c>
      <c r="E264" s="9">
        <v>57.395282415882633</v>
      </c>
      <c r="F264" s="9">
        <v>72.893471306704413</v>
      </c>
      <c r="G264" s="9">
        <v>85.857142290091545</v>
      </c>
      <c r="H264" s="9">
        <v>99.991347520835433</v>
      </c>
      <c r="I264" s="9">
        <v>115.75881822122409</v>
      </c>
      <c r="J264" s="9">
        <v>9999</v>
      </c>
    </row>
    <row r="265" spans="1:10" ht="15.75" thickBot="1" x14ac:dyDescent="0.3">
      <c r="A265" s="10" t="s">
        <v>314</v>
      </c>
      <c r="B265" s="11">
        <v>0.25</v>
      </c>
      <c r="C265" s="9">
        <v>27.198640616805935</v>
      </c>
      <c r="D265" s="9">
        <v>38.363726409615339</v>
      </c>
      <c r="E265" s="9">
        <v>47.179084868239698</v>
      </c>
      <c r="F265" s="9">
        <v>59.432501251168254</v>
      </c>
      <c r="G265" s="9">
        <v>69.573458442612818</v>
      </c>
      <c r="H265" s="9">
        <v>80.550296949639744</v>
      </c>
      <c r="I265" s="9">
        <v>92.678143608976683</v>
      </c>
      <c r="J265" s="9">
        <v>9999</v>
      </c>
    </row>
    <row r="266" spans="1:10" ht="15.75" thickBot="1" x14ac:dyDescent="0.3">
      <c r="A266" s="10" t="s">
        <v>315</v>
      </c>
      <c r="B266" s="11">
        <v>0.5</v>
      </c>
      <c r="C266" s="9">
        <v>20.007290588420084</v>
      </c>
      <c r="D266" s="9">
        <v>27.755135901538274</v>
      </c>
      <c r="E266" s="9">
        <v>33.746169548570649</v>
      </c>
      <c r="F266" s="9">
        <v>41.922853136830639</v>
      </c>
      <c r="G266" s="9">
        <v>48.563399084251344</v>
      </c>
      <c r="H266" s="9">
        <v>55.661141983564761</v>
      </c>
      <c r="I266" s="9">
        <v>63.369206231545441</v>
      </c>
      <c r="J266" s="9">
        <v>9999</v>
      </c>
    </row>
    <row r="267" spans="1:10" ht="15.75" thickBot="1" x14ac:dyDescent="0.3">
      <c r="A267" s="10" t="s">
        <v>316</v>
      </c>
      <c r="B267" s="11">
        <v>1</v>
      </c>
      <c r="C267" s="9">
        <v>14.71734129396688</v>
      </c>
      <c r="D267" s="9">
        <v>20.080102769155971</v>
      </c>
      <c r="E267" s="9">
        <v>24.137898443373658</v>
      </c>
      <c r="F267" s="9">
        <v>29.571792842855036</v>
      </c>
      <c r="G267" s="9">
        <v>33.898037892734301</v>
      </c>
      <c r="H267" s="9">
        <v>38.462461893238384</v>
      </c>
      <c r="I267" s="9">
        <v>43.329054101027403</v>
      </c>
      <c r="J267" s="9">
        <v>9999</v>
      </c>
    </row>
    <row r="268" spans="1:10" ht="15.75" thickBot="1" x14ac:dyDescent="0.3">
      <c r="A268" s="10" t="s">
        <v>317</v>
      </c>
      <c r="B268" s="11">
        <v>2</v>
      </c>
      <c r="C268" s="9">
        <v>10.826060320654692</v>
      </c>
      <c r="D268" s="9">
        <v>14.527420389878836</v>
      </c>
      <c r="E268" s="9">
        <v>17.265311857810502</v>
      </c>
      <c r="F268" s="9">
        <v>20.859528073781377</v>
      </c>
      <c r="G268" s="9">
        <v>23.661378623513308</v>
      </c>
      <c r="H268" s="9">
        <v>26.57798460774719</v>
      </c>
      <c r="I268" s="9">
        <v>29.626486442482516</v>
      </c>
      <c r="J268" s="9">
        <v>9999</v>
      </c>
    </row>
    <row r="269" spans="1:10" ht="15.75" thickBot="1" x14ac:dyDescent="0.3">
      <c r="A269" s="10" t="s">
        <v>318</v>
      </c>
      <c r="B269" s="11">
        <v>6</v>
      </c>
      <c r="C269" s="9">
        <v>6.6542874476563885</v>
      </c>
      <c r="D269" s="9">
        <v>8.6971819119360276</v>
      </c>
      <c r="E269" s="9">
        <v>10.151324581711453</v>
      </c>
      <c r="F269" s="9">
        <v>11.996834781831833</v>
      </c>
      <c r="G269" s="9">
        <v>13.383592119742163</v>
      </c>
      <c r="H269" s="9">
        <v>14.79488987365189</v>
      </c>
      <c r="I269" s="9">
        <v>16.21826274782703</v>
      </c>
      <c r="J269" s="9">
        <v>9999</v>
      </c>
    </row>
    <row r="270" spans="1:10" ht="15.75" thickBot="1" x14ac:dyDescent="0.3">
      <c r="A270" s="10" t="s">
        <v>319</v>
      </c>
      <c r="B270" s="11">
        <v>12</v>
      </c>
      <c r="C270" s="9">
        <v>4.8948866415726098</v>
      </c>
      <c r="D270" s="9">
        <v>6.2921798406341338</v>
      </c>
      <c r="E270" s="9">
        <v>7.261020883167232</v>
      </c>
      <c r="F270" s="9">
        <v>8.4623990590614984</v>
      </c>
      <c r="G270" s="9">
        <v>9.3419637292860624</v>
      </c>
      <c r="H270" s="9">
        <v>10.223431782050373</v>
      </c>
      <c r="I270" s="9">
        <v>11.089329120797112</v>
      </c>
      <c r="J270" s="9">
        <v>9999</v>
      </c>
    </row>
    <row r="271" spans="1:10" ht="15.75" thickBot="1" x14ac:dyDescent="0.3">
      <c r="A271" s="10" t="s">
        <v>320</v>
      </c>
      <c r="B271" s="11">
        <v>24</v>
      </c>
      <c r="C271" s="9">
        <v>3.6006733136069364</v>
      </c>
      <c r="D271" s="9">
        <v>4.5522247950853041</v>
      </c>
      <c r="E271" s="9">
        <v>5.1936497391458616</v>
      </c>
      <c r="F271" s="9">
        <v>5.9692576531315913</v>
      </c>
      <c r="G271" s="9">
        <v>6.5208417544764243</v>
      </c>
      <c r="H271" s="9">
        <v>7.064503912825602</v>
      </c>
      <c r="I271" s="9">
        <v>7.5823916692825293</v>
      </c>
      <c r="J271" s="9">
        <v>9999</v>
      </c>
    </row>
    <row r="272" spans="1:10" ht="15.75" thickBot="1" x14ac:dyDescent="0.3">
      <c r="A272" s="10" t="s">
        <v>321</v>
      </c>
      <c r="B272" s="11">
        <v>8.3333333333333329E-2</v>
      </c>
      <c r="C272" s="9">
        <v>51.25729718181617</v>
      </c>
      <c r="D272" s="9">
        <v>75.265720687617659</v>
      </c>
      <c r="E272" s="9">
        <v>94.276707199933441</v>
      </c>
      <c r="F272" s="9">
        <v>121.67775226834506</v>
      </c>
      <c r="G272" s="9">
        <v>145.43939078485477</v>
      </c>
      <c r="H272" s="9">
        <v>171.19801184138376</v>
      </c>
      <c r="I272" s="9">
        <v>200.68793654223867</v>
      </c>
      <c r="J272" s="9">
        <v>9999</v>
      </c>
    </row>
    <row r="273" spans="1:10" ht="15.75" thickBot="1" x14ac:dyDescent="0.3">
      <c r="A273" s="10" t="s">
        <v>322</v>
      </c>
      <c r="B273" s="11">
        <v>0.16666666666666666</v>
      </c>
      <c r="C273" s="9">
        <v>37.76704189519792</v>
      </c>
      <c r="D273" s="9">
        <v>54.45456784818726</v>
      </c>
      <c r="E273" s="9">
        <v>67.437800476860247</v>
      </c>
      <c r="F273" s="9">
        <v>85.869818430361804</v>
      </c>
      <c r="G273" s="9">
        <v>101.5412455310842</v>
      </c>
      <c r="H273" s="9">
        <v>118.34284505749982</v>
      </c>
      <c r="I273" s="9">
        <v>137.27821505842743</v>
      </c>
      <c r="J273" s="9">
        <v>9999</v>
      </c>
    </row>
    <row r="274" spans="1:10" ht="15.75" thickBot="1" x14ac:dyDescent="0.3">
      <c r="A274" s="10" t="s">
        <v>323</v>
      </c>
      <c r="B274" s="11">
        <v>0.25</v>
      </c>
      <c r="C274" s="9">
        <v>31.587986655929168</v>
      </c>
      <c r="D274" s="9">
        <v>45.061981536033649</v>
      </c>
      <c r="E274" s="9">
        <v>55.435856682663832</v>
      </c>
      <c r="F274" s="9">
        <v>70.03165665680244</v>
      </c>
      <c r="G274" s="9">
        <v>82.293435804630903</v>
      </c>
      <c r="H274" s="9">
        <v>95.354093806146338</v>
      </c>
      <c r="I274" s="9">
        <v>109.93343959104318</v>
      </c>
      <c r="J274" s="9">
        <v>9999</v>
      </c>
    </row>
    <row r="275" spans="1:10" ht="15.75" thickBot="1" x14ac:dyDescent="0.3">
      <c r="A275" s="10" t="s">
        <v>324</v>
      </c>
      <c r="B275" s="11">
        <v>0.5</v>
      </c>
      <c r="C275" s="9">
        <v>23.274438587500246</v>
      </c>
      <c r="D275" s="9">
        <v>32.602235234178771</v>
      </c>
      <c r="E275" s="9">
        <v>39.654251333800751</v>
      </c>
      <c r="F275" s="9">
        <v>49.422392585250996</v>
      </c>
      <c r="G275" s="9">
        <v>57.454709659748573</v>
      </c>
      <c r="H275" s="9">
        <v>65.914753492314105</v>
      </c>
      <c r="I275" s="9">
        <v>75.19867223865532</v>
      </c>
      <c r="J275" s="9">
        <v>9999</v>
      </c>
    </row>
    <row r="276" spans="1:10" ht="15.75" thickBot="1" x14ac:dyDescent="0.3">
      <c r="A276" s="10" t="s">
        <v>325</v>
      </c>
      <c r="B276" s="11">
        <v>1</v>
      </c>
      <c r="C276" s="9">
        <v>17.148908458894823</v>
      </c>
      <c r="D276" s="9">
        <v>23.587638759622212</v>
      </c>
      <c r="E276" s="9">
        <v>28.365389171229062</v>
      </c>
      <c r="F276" s="9">
        <v>34.878125200161406</v>
      </c>
      <c r="G276" s="9">
        <v>40.113085932186173</v>
      </c>
      <c r="H276" s="9">
        <v>45.564427855455961</v>
      </c>
      <c r="I276" s="9">
        <v>51.438764469600379</v>
      </c>
      <c r="J276" s="9">
        <v>9999</v>
      </c>
    </row>
    <row r="277" spans="1:10" ht="15.75" thickBot="1" x14ac:dyDescent="0.3">
      <c r="A277" s="10" t="s">
        <v>326</v>
      </c>
      <c r="B277" s="11">
        <v>2</v>
      </c>
      <c r="C277" s="9">
        <v>12.63553834933297</v>
      </c>
      <c r="D277" s="9">
        <v>17.065599897001874</v>
      </c>
      <c r="E277" s="9">
        <v>20.290265880002949</v>
      </c>
      <c r="F277" s="9">
        <v>24.614017125532008</v>
      </c>
      <c r="G277" s="9">
        <v>28.00570523342531</v>
      </c>
      <c r="H277" s="9">
        <v>31.497001441978139</v>
      </c>
      <c r="I277" s="9">
        <v>35.186079905263178</v>
      </c>
      <c r="J277" s="9">
        <v>9999</v>
      </c>
    </row>
    <row r="278" spans="1:10" ht="15.75" thickBot="1" x14ac:dyDescent="0.3">
      <c r="A278" s="10" t="s">
        <v>327</v>
      </c>
      <c r="B278" s="11">
        <v>6</v>
      </c>
      <c r="C278" s="9">
        <v>7.7868174623691484</v>
      </c>
      <c r="D278" s="9">
        <v>10.217264120166062</v>
      </c>
      <c r="E278" s="9">
        <v>11.930924454028681</v>
      </c>
      <c r="F278" s="9">
        <v>14.166602884629024</v>
      </c>
      <c r="G278" s="9">
        <v>15.846365234020896</v>
      </c>
      <c r="H278" s="9">
        <v>17.543241290052794</v>
      </c>
      <c r="I278" s="9">
        <v>19.274336347051655</v>
      </c>
      <c r="J278" s="9">
        <v>9999</v>
      </c>
    </row>
    <row r="279" spans="1:10" ht="15.75" thickBot="1" x14ac:dyDescent="0.3">
      <c r="A279" s="10" t="s">
        <v>328</v>
      </c>
      <c r="B279" s="11">
        <v>12</v>
      </c>
      <c r="C279" s="9">
        <v>5.7374281809748418</v>
      </c>
      <c r="D279" s="9">
        <v>7.3921660109203531</v>
      </c>
      <c r="E279" s="9">
        <v>8.534401834049703</v>
      </c>
      <c r="F279" s="9">
        <v>9.997584560859833</v>
      </c>
      <c r="G279" s="9">
        <v>11.06343786452735</v>
      </c>
      <c r="H279" s="9">
        <v>12.126992968344686</v>
      </c>
      <c r="I279" s="9">
        <v>13.184382358737999</v>
      </c>
      <c r="J279" s="9">
        <v>9999</v>
      </c>
    </row>
    <row r="280" spans="1:10" ht="15.75" thickBot="1" x14ac:dyDescent="0.3">
      <c r="A280" s="10" t="s">
        <v>329</v>
      </c>
      <c r="B280" s="11">
        <v>24</v>
      </c>
      <c r="C280" s="9">
        <v>4.2274115568941193</v>
      </c>
      <c r="D280" s="9">
        <v>5.3482143253156913</v>
      </c>
      <c r="E280" s="9">
        <v>6.1048089731585415</v>
      </c>
      <c r="F280" s="9">
        <v>7.0554456749819661</v>
      </c>
      <c r="G280" s="9">
        <v>7.7241471829435744</v>
      </c>
      <c r="H280" s="9">
        <v>8.3829411009508448</v>
      </c>
      <c r="I280" s="9">
        <v>9.0186211888946133</v>
      </c>
      <c r="J280" s="9">
        <v>9999</v>
      </c>
    </row>
    <row r="281" spans="1:10" ht="15.75" thickBot="1" x14ac:dyDescent="0.3">
      <c r="A281" s="10" t="s">
        <v>330</v>
      </c>
      <c r="B281" s="11">
        <v>8.3333333333333329E-2</v>
      </c>
      <c r="C281" s="9">
        <v>51.655373626320042</v>
      </c>
      <c r="D281" s="9">
        <v>75.206409285586034</v>
      </c>
      <c r="E281" s="9">
        <v>92.92770896027919</v>
      </c>
      <c r="F281" s="9">
        <v>119.00061285305686</v>
      </c>
      <c r="G281" s="9">
        <v>141.35248230688273</v>
      </c>
      <c r="H281" s="9">
        <v>164.79661563138529</v>
      </c>
      <c r="I281" s="9">
        <v>191.31889751892692</v>
      </c>
      <c r="J281" s="9">
        <v>9999</v>
      </c>
    </row>
    <row r="282" spans="1:10" ht="15.75" thickBot="1" x14ac:dyDescent="0.3">
      <c r="A282" s="10" t="s">
        <v>331</v>
      </c>
      <c r="B282" s="11">
        <v>0.16666666666666666</v>
      </c>
      <c r="C282" s="9">
        <v>38.092957077907521</v>
      </c>
      <c r="D282" s="9">
        <v>54.477140246243025</v>
      </c>
      <c r="E282" s="9">
        <v>66.463700607432173</v>
      </c>
      <c r="F282" s="9">
        <v>83.918117521804135</v>
      </c>
      <c r="G282" s="9">
        <v>98.608899448897205</v>
      </c>
      <c r="H282" s="9">
        <v>113.86218390532143</v>
      </c>
      <c r="I282" s="9">
        <v>130.79447777790818</v>
      </c>
      <c r="J282" s="9">
        <v>9999</v>
      </c>
    </row>
    <row r="283" spans="1:10" ht="15.75" thickBot="1" x14ac:dyDescent="0.3">
      <c r="A283" s="10" t="s">
        <v>332</v>
      </c>
      <c r="B283" s="11">
        <v>0.25</v>
      </c>
      <c r="C283" s="9">
        <v>31.87654311997138</v>
      </c>
      <c r="D283" s="9">
        <v>45.112389327250455</v>
      </c>
      <c r="E283" s="9">
        <v>54.630724572449047</v>
      </c>
      <c r="F283" s="9">
        <v>68.410181783605836</v>
      </c>
      <c r="G283" s="9">
        <v>79.879509497041411</v>
      </c>
      <c r="H283" s="9">
        <v>91.717623861647681</v>
      </c>
      <c r="I283" s="9">
        <v>104.706116471059</v>
      </c>
      <c r="J283" s="9">
        <v>9999</v>
      </c>
    </row>
    <row r="284" spans="1:10" ht="15.75" thickBot="1" x14ac:dyDescent="0.3">
      <c r="A284" s="10" t="s">
        <v>333</v>
      </c>
      <c r="B284" s="11">
        <v>0.5</v>
      </c>
      <c r="C284" s="9">
        <v>23.507172702791717</v>
      </c>
      <c r="D284" s="9">
        <v>32.677985607468159</v>
      </c>
      <c r="E284" s="9">
        <v>39.072954262784535</v>
      </c>
      <c r="F284" s="9">
        <v>48.242219405151133</v>
      </c>
      <c r="G284" s="9">
        <v>55.724741380346096</v>
      </c>
      <c r="H284" s="9">
        <v>63.370045042995045</v>
      </c>
      <c r="I284" s="9">
        <v>71.58196080776689</v>
      </c>
      <c r="J284" s="9">
        <v>9999</v>
      </c>
    </row>
    <row r="285" spans="1:10" ht="15.75" thickBot="1" x14ac:dyDescent="0.3">
      <c r="A285" s="10" t="s">
        <v>334</v>
      </c>
      <c r="B285" s="11">
        <v>1</v>
      </c>
      <c r="C285" s="9">
        <v>17.335228804426659</v>
      </c>
      <c r="D285" s="9">
        <v>23.670897491498046</v>
      </c>
      <c r="E285" s="9">
        <v>27.945735056049095</v>
      </c>
      <c r="F285" s="9">
        <v>34.019961246360403</v>
      </c>
      <c r="G285" s="9">
        <v>38.874134574167229</v>
      </c>
      <c r="H285" s="9">
        <v>43.783979999403783</v>
      </c>
      <c r="I285" s="9">
        <v>48.936750648191143</v>
      </c>
      <c r="J285" s="9">
        <v>9999</v>
      </c>
    </row>
    <row r="286" spans="1:10" ht="15.75" thickBot="1" x14ac:dyDescent="0.3">
      <c r="A286" s="10" t="s">
        <v>335</v>
      </c>
      <c r="B286" s="11">
        <v>2</v>
      </c>
      <c r="C286" s="9">
        <v>12.783764406773384</v>
      </c>
      <c r="D286" s="9">
        <v>17.146448216959744</v>
      </c>
      <c r="E286" s="9">
        <v>19.987331968054672</v>
      </c>
      <c r="F286" s="9">
        <v>23.990558010693118</v>
      </c>
      <c r="G286" s="9">
        <v>27.118983443563504</v>
      </c>
      <c r="H286" s="9">
        <v>30.251468233729788</v>
      </c>
      <c r="I286" s="9">
        <v>33.455433980559413</v>
      </c>
      <c r="J286" s="9">
        <v>9999</v>
      </c>
    </row>
    <row r="287" spans="1:10" ht="15.75" thickBot="1" x14ac:dyDescent="0.3">
      <c r="A287" s="10" t="s">
        <v>336</v>
      </c>
      <c r="B287" s="11">
        <v>6</v>
      </c>
      <c r="C287" s="9">
        <v>7.8888639988547471</v>
      </c>
      <c r="D287" s="9">
        <v>10.285256999914747</v>
      </c>
      <c r="E287" s="9">
        <v>11.750235101046444</v>
      </c>
      <c r="F287" s="9">
        <v>13.791512457404108</v>
      </c>
      <c r="G287" s="9">
        <v>15.325171940222525</v>
      </c>
      <c r="H287" s="9">
        <v>16.83646702387373</v>
      </c>
      <c r="I287" s="9">
        <v>18.309684053096394</v>
      </c>
      <c r="J287" s="9">
        <v>9999</v>
      </c>
    </row>
    <row r="288" spans="1:10" ht="15.75" thickBot="1" x14ac:dyDescent="0.3">
      <c r="A288" s="10" t="s">
        <v>337</v>
      </c>
      <c r="B288" s="11">
        <v>12</v>
      </c>
      <c r="C288" s="9">
        <v>5.8175972141009611</v>
      </c>
      <c r="D288" s="9">
        <v>7.4503143199577959</v>
      </c>
      <c r="E288" s="9">
        <v>8.4039961445375226</v>
      </c>
      <c r="F288" s="9">
        <v>9.7256454017844458</v>
      </c>
      <c r="G288" s="9">
        <v>10.690992575635022</v>
      </c>
      <c r="H288" s="9">
        <v>11.632744381572685</v>
      </c>
      <c r="I288" s="9">
        <v>12.517349802135053</v>
      </c>
      <c r="J288" s="9">
        <v>9999</v>
      </c>
    </row>
    <row r="289" spans="1:10" ht="15.75" thickBot="1" x14ac:dyDescent="0.3">
      <c r="A289" s="10" t="s">
        <v>338</v>
      </c>
      <c r="B289" s="11">
        <v>24</v>
      </c>
      <c r="C289" s="9">
        <v>4.2901534809610844</v>
      </c>
      <c r="D289" s="9">
        <v>5.3967716573954601</v>
      </c>
      <c r="E289" s="9">
        <v>6.0107011127897927</v>
      </c>
      <c r="F289" s="9">
        <v>6.8584340385720584</v>
      </c>
      <c r="G289" s="9">
        <v>7.4581428970658292</v>
      </c>
      <c r="H289" s="9">
        <v>8.0373597177560558</v>
      </c>
      <c r="I289" s="9">
        <v>8.5574412761378724</v>
      </c>
      <c r="J289" s="9">
        <v>9999</v>
      </c>
    </row>
    <row r="290" spans="1:10" ht="15.75" thickBot="1" x14ac:dyDescent="0.3">
      <c r="A290" s="10" t="s">
        <v>339</v>
      </c>
      <c r="B290" s="11">
        <v>8.3333333333333329E-2</v>
      </c>
      <c r="C290" s="9">
        <v>57.775781280400523</v>
      </c>
      <c r="D290" s="9">
        <v>87.692524131959175</v>
      </c>
      <c r="E290" s="9">
        <v>112.33685427333459</v>
      </c>
      <c r="F290" s="9">
        <v>147.27424100871576</v>
      </c>
      <c r="G290" s="9">
        <v>177.2317195113859</v>
      </c>
      <c r="H290" s="9">
        <v>209.88724707665995</v>
      </c>
      <c r="I290" s="9">
        <v>246.83379859590113</v>
      </c>
      <c r="J290" s="9">
        <v>9999</v>
      </c>
    </row>
    <row r="291" spans="1:10" ht="15.75" thickBot="1" x14ac:dyDescent="0.3">
      <c r="A291" s="10" t="s">
        <v>340</v>
      </c>
      <c r="B291" s="11">
        <v>0.16666666666666666</v>
      </c>
      <c r="C291" s="9">
        <v>42.607472195955161</v>
      </c>
      <c r="D291" s="9">
        <v>63.527584801626396</v>
      </c>
      <c r="E291" s="9">
        <v>80.415854007590013</v>
      </c>
      <c r="F291" s="9">
        <v>103.97594170653298</v>
      </c>
      <c r="G291" s="9">
        <v>123.79517114925953</v>
      </c>
      <c r="H291" s="9">
        <v>145.16690548028549</v>
      </c>
      <c r="I291" s="9">
        <v>168.9683130392032</v>
      </c>
      <c r="J291" s="9">
        <v>9999</v>
      </c>
    </row>
    <row r="292" spans="1:10" ht="15.75" thickBot="1" x14ac:dyDescent="0.3">
      <c r="A292" s="10" t="s">
        <v>341</v>
      </c>
      <c r="B292" s="11">
        <v>0.25</v>
      </c>
      <c r="C292" s="9">
        <v>35.654848476239664</v>
      </c>
      <c r="D292" s="9">
        <v>52.609898278979088</v>
      </c>
      <c r="E292" s="9">
        <v>66.132734933074914</v>
      </c>
      <c r="F292" s="9">
        <v>84.818401338152654</v>
      </c>
      <c r="G292" s="9">
        <v>100.35625970351835</v>
      </c>
      <c r="H292" s="9">
        <v>117.00497834484898</v>
      </c>
      <c r="I292" s="9">
        <v>135.3694971687168</v>
      </c>
      <c r="J292" s="9">
        <v>9999</v>
      </c>
    </row>
    <row r="293" spans="1:10" ht="15.75" thickBot="1" x14ac:dyDescent="0.3">
      <c r="A293" s="10" t="s">
        <v>342</v>
      </c>
      <c r="B293" s="11">
        <v>0.5</v>
      </c>
      <c r="C293" s="9">
        <v>26.294113752083977</v>
      </c>
      <c r="D293" s="9">
        <v>38.112482305715041</v>
      </c>
      <c r="E293" s="9">
        <v>47.34083388663273</v>
      </c>
      <c r="F293" s="9">
        <v>59.881979990344426</v>
      </c>
      <c r="G293" s="9">
        <v>70.098176444642903</v>
      </c>
      <c r="H293" s="9">
        <v>80.925596331757077</v>
      </c>
      <c r="I293" s="9">
        <v>92.666221982871917</v>
      </c>
      <c r="J293" s="9">
        <v>9999</v>
      </c>
    </row>
    <row r="294" spans="1:10" ht="15.75" thickBot="1" x14ac:dyDescent="0.3">
      <c r="A294" s="10" t="s">
        <v>343</v>
      </c>
      <c r="B294" s="11">
        <v>1</v>
      </c>
      <c r="C294" s="9">
        <v>19.390922905429445</v>
      </c>
      <c r="D294" s="9">
        <v>27.610038320181093</v>
      </c>
      <c r="E294" s="9">
        <v>33.888732340341889</v>
      </c>
      <c r="F294" s="9">
        <v>42.27681105740244</v>
      </c>
      <c r="G294" s="9">
        <v>48.963107586721065</v>
      </c>
      <c r="H294" s="9">
        <v>55.971568340867996</v>
      </c>
      <c r="I294" s="9">
        <v>63.434000097352154</v>
      </c>
      <c r="J294" s="9">
        <v>9999</v>
      </c>
    </row>
    <row r="295" spans="1:10" ht="15.75" thickBot="1" x14ac:dyDescent="0.3">
      <c r="A295" s="10" t="s">
        <v>344</v>
      </c>
      <c r="B295" s="11">
        <v>2</v>
      </c>
      <c r="C295" s="9">
        <v>14.300078514511911</v>
      </c>
      <c r="D295" s="9">
        <v>20.001694193704036</v>
      </c>
      <c r="E295" s="9">
        <v>24.259103301507587</v>
      </c>
      <c r="F295" s="9">
        <v>29.847522634881148</v>
      </c>
      <c r="G295" s="9">
        <v>34.200403293544404</v>
      </c>
      <c r="H295" s="9">
        <v>38.712306174345322</v>
      </c>
      <c r="I295" s="9">
        <v>43.423291489045823</v>
      </c>
      <c r="J295" s="9">
        <v>9999</v>
      </c>
    </row>
    <row r="296" spans="1:10" ht="15.75" thickBot="1" x14ac:dyDescent="0.3">
      <c r="A296" s="10" t="s">
        <v>345</v>
      </c>
      <c r="B296" s="11">
        <v>6</v>
      </c>
      <c r="C296" s="9">
        <v>8.8249283927245923</v>
      </c>
      <c r="D296" s="9">
        <v>11.99973552311644</v>
      </c>
      <c r="E296" s="9">
        <v>14.281340337776411</v>
      </c>
      <c r="F296" s="9">
        <v>17.189829914961997</v>
      </c>
      <c r="G296" s="9">
        <v>19.365746517352441</v>
      </c>
      <c r="H296" s="9">
        <v>21.580789727324667</v>
      </c>
      <c r="I296" s="9">
        <v>23.814360787381915</v>
      </c>
      <c r="J296" s="9">
        <v>9999</v>
      </c>
    </row>
    <row r="297" spans="1:10" ht="15.75" thickBot="1" x14ac:dyDescent="0.3">
      <c r="A297" s="10" t="s">
        <v>346</v>
      </c>
      <c r="B297" s="11">
        <v>12</v>
      </c>
      <c r="C297" s="9">
        <v>6.5080537690948157</v>
      </c>
      <c r="D297" s="9">
        <v>8.6930353936983575</v>
      </c>
      <c r="E297" s="9">
        <v>10.223236061435104</v>
      </c>
      <c r="F297" s="9">
        <v>12.136058152067003</v>
      </c>
      <c r="G297" s="9">
        <v>13.526844467560483</v>
      </c>
      <c r="H297" s="9">
        <v>14.926187780204748</v>
      </c>
      <c r="I297" s="9">
        <v>16.301950507752274</v>
      </c>
      <c r="J297" s="9">
        <v>9999</v>
      </c>
    </row>
    <row r="298" spans="1:10" ht="15.75" thickBot="1" x14ac:dyDescent="0.3">
      <c r="A298" s="10" t="s">
        <v>347</v>
      </c>
      <c r="B298" s="11">
        <v>24</v>
      </c>
      <c r="C298" s="9">
        <v>4.7994456132184764</v>
      </c>
      <c r="D298" s="9">
        <v>6.2975441592454739</v>
      </c>
      <c r="E298" s="9">
        <v>7.3182595677920723</v>
      </c>
      <c r="F298" s="9">
        <v>8.5680840473096431</v>
      </c>
      <c r="G298" s="9">
        <v>9.4484104233017092</v>
      </c>
      <c r="H298" s="9">
        <v>10.323583356536995</v>
      </c>
      <c r="I298" s="9">
        <v>11.159383731937691</v>
      </c>
      <c r="J298" s="9">
        <v>9999</v>
      </c>
    </row>
  </sheetData>
  <sheetProtection algorithmName="SHA-512" hashValue="Dwib/wK/u4/FC8nbmcKOXdi9gG/ALLxLATfTpibYR9/dvMNxO2zY7IMf23GPbrjqWFOSsHyIt4Y4b+tCcatTvQ==" saltValue="P91WeQenBd5RZ9VnidmKOg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6852C-168D-4EDF-867A-6B216713FDFB}">
  <sheetPr codeName="Sheet7"/>
  <dimension ref="A1:AE290"/>
  <sheetViews>
    <sheetView workbookViewId="0">
      <selection activeCell="C24" sqref="C24"/>
    </sheetView>
  </sheetViews>
  <sheetFormatPr defaultRowHeight="15" x14ac:dyDescent="0.25"/>
  <cols>
    <col min="1" max="1" width="5.7109375" bestFit="1" customWidth="1"/>
    <col min="2" max="2" width="25.5703125" bestFit="1" customWidth="1"/>
    <col min="3" max="5" width="25.5703125" customWidth="1"/>
    <col min="6" max="6" width="31.28515625" bestFit="1" customWidth="1"/>
    <col min="7" max="19" width="31.28515625" customWidth="1"/>
    <col min="20" max="20" width="35.7109375" bestFit="1" customWidth="1"/>
    <col min="21" max="21" width="35.7109375" customWidth="1"/>
    <col min="22" max="22" width="37.85546875" bestFit="1" customWidth="1"/>
    <col min="23" max="23" width="31.42578125" bestFit="1" customWidth="1"/>
    <col min="24" max="24" width="35.7109375" bestFit="1" customWidth="1"/>
    <col min="25" max="26" width="22" bestFit="1" customWidth="1"/>
    <col min="27" max="27" width="23.140625" bestFit="1" customWidth="1"/>
    <col min="28" max="28" width="18.140625" bestFit="1" customWidth="1"/>
    <col min="31" max="31" width="15.140625" bestFit="1" customWidth="1"/>
  </cols>
  <sheetData>
    <row r="1" spans="1:31" ht="15.75" thickBot="1" x14ac:dyDescent="0.3">
      <c r="A1" s="20" t="s">
        <v>171</v>
      </c>
      <c r="B1" s="30" t="s">
        <v>402</v>
      </c>
      <c r="C1" s="41" t="s">
        <v>349</v>
      </c>
      <c r="D1" s="34" t="s">
        <v>350</v>
      </c>
      <c r="E1" s="34" t="s">
        <v>351</v>
      </c>
      <c r="F1" s="16" t="s">
        <v>370</v>
      </c>
      <c r="G1" s="41" t="s">
        <v>352</v>
      </c>
      <c r="H1" s="41" t="s">
        <v>353</v>
      </c>
      <c r="I1" s="41" t="s">
        <v>354</v>
      </c>
      <c r="J1" s="45" t="s">
        <v>355</v>
      </c>
      <c r="K1" s="45" t="s">
        <v>356</v>
      </c>
      <c r="L1" s="45" t="s">
        <v>357</v>
      </c>
      <c r="M1" s="45" t="s">
        <v>358</v>
      </c>
      <c r="N1" s="45" t="s">
        <v>411</v>
      </c>
      <c r="O1" s="92" t="s">
        <v>412</v>
      </c>
      <c r="P1" s="45" t="s">
        <v>359</v>
      </c>
      <c r="Q1" s="45" t="s">
        <v>360</v>
      </c>
      <c r="R1" s="45" t="s">
        <v>361</v>
      </c>
      <c r="S1" s="45" t="s">
        <v>362</v>
      </c>
      <c r="T1" s="45" t="s">
        <v>363</v>
      </c>
      <c r="U1" s="41" t="s">
        <v>409</v>
      </c>
      <c r="V1" s="16" t="s">
        <v>371</v>
      </c>
      <c r="W1" s="49" t="s">
        <v>364</v>
      </c>
      <c r="X1" s="49" t="s">
        <v>365</v>
      </c>
      <c r="Y1" s="49" t="s">
        <v>366</v>
      </c>
      <c r="Z1" s="49" t="s">
        <v>367</v>
      </c>
      <c r="AA1" s="49" t="s">
        <v>368</v>
      </c>
      <c r="AB1" s="41" t="s">
        <v>369</v>
      </c>
    </row>
    <row r="2" spans="1:31" x14ac:dyDescent="0.25">
      <c r="A2" s="21">
        <v>0</v>
      </c>
      <c r="B2" s="31">
        <v>0</v>
      </c>
      <c r="C2" s="42">
        <v>0</v>
      </c>
      <c r="D2" s="53">
        <v>0</v>
      </c>
      <c r="E2" s="35">
        <v>0</v>
      </c>
      <c r="F2" s="17">
        <v>0</v>
      </c>
      <c r="G2" s="42">
        <v>0</v>
      </c>
      <c r="H2" s="42">
        <v>0</v>
      </c>
      <c r="I2" s="42">
        <v>0</v>
      </c>
      <c r="J2" s="47">
        <v>0</v>
      </c>
      <c r="K2" s="38">
        <v>0</v>
      </c>
      <c r="L2" s="38">
        <v>0</v>
      </c>
      <c r="M2" s="38">
        <v>0</v>
      </c>
      <c r="N2" s="38">
        <v>0</v>
      </c>
      <c r="O2" s="47">
        <v>0</v>
      </c>
      <c r="P2" s="91">
        <v>0</v>
      </c>
      <c r="Q2" s="38">
        <v>0</v>
      </c>
      <c r="R2" s="38">
        <v>0</v>
      </c>
      <c r="S2" s="38">
        <v>0</v>
      </c>
      <c r="T2" s="47">
        <v>0</v>
      </c>
      <c r="U2" s="42">
        <v>0</v>
      </c>
      <c r="V2" s="17">
        <v>0</v>
      </c>
      <c r="W2" s="87">
        <v>0</v>
      </c>
      <c r="X2" s="50">
        <v>0</v>
      </c>
      <c r="Y2" s="50">
        <v>0</v>
      </c>
      <c r="Z2" s="50">
        <v>0</v>
      </c>
      <c r="AA2" s="50">
        <v>0</v>
      </c>
      <c r="AB2" s="42">
        <v>0</v>
      </c>
      <c r="AE2" s="102" t="s">
        <v>416</v>
      </c>
    </row>
    <row r="3" spans="1:31" x14ac:dyDescent="0.25">
      <c r="A3" s="22">
        <f>A2+TIME(0,5,0)</f>
        <v>3.472222222222222E-3</v>
      </c>
      <c r="B3" s="32">
        <v>0.01</v>
      </c>
      <c r="C3" s="43">
        <v>0.05</v>
      </c>
      <c r="D3" s="54">
        <v>0.27300000000000002</v>
      </c>
      <c r="E3" s="36">
        <v>4.8000000000000001E-2</v>
      </c>
      <c r="F3" s="18">
        <v>5.0000000000000001E-3</v>
      </c>
      <c r="G3" s="43">
        <v>0.02</v>
      </c>
      <c r="H3" s="43">
        <v>0.13300000000000001</v>
      </c>
      <c r="I3" s="43">
        <v>2.3E-2</v>
      </c>
      <c r="J3" s="43">
        <v>9.9865951742627319E-3</v>
      </c>
      <c r="K3" s="39">
        <v>4.4400000000000002E-2</v>
      </c>
      <c r="L3" s="39">
        <v>8.3300000000000006E-3</v>
      </c>
      <c r="M3" s="39">
        <v>8.0000000000000002E-3</v>
      </c>
      <c r="N3" s="39">
        <v>8.0000000000000002E-3</v>
      </c>
      <c r="O3" s="42">
        <v>9.8099999999999993E-3</v>
      </c>
      <c r="P3" s="93">
        <v>5.0000000000000001E-3</v>
      </c>
      <c r="Q3" s="39">
        <v>4.1700000000000001E-3</v>
      </c>
      <c r="R3" s="39">
        <v>4.1700000000000001E-3</v>
      </c>
      <c r="S3" s="39">
        <v>4.0000000000000001E-3</v>
      </c>
      <c r="T3" s="43">
        <v>4.0000000000000001E-3</v>
      </c>
      <c r="U3" s="43">
        <v>4.7099999999999998E-3</v>
      </c>
      <c r="V3" s="18">
        <v>2.2000000000000001E-3</v>
      </c>
      <c r="W3" s="88">
        <v>1.75E-3</v>
      </c>
      <c r="X3" s="51">
        <v>2E-3</v>
      </c>
      <c r="Y3" s="51">
        <v>2.0799999999999998E-3</v>
      </c>
      <c r="Z3" s="51">
        <v>1.39E-3</v>
      </c>
      <c r="AA3" s="51">
        <v>3.0000000000000001E-3</v>
      </c>
      <c r="AB3" s="43">
        <v>1.8E-3</v>
      </c>
      <c r="AE3" s="2" t="s">
        <v>417</v>
      </c>
    </row>
    <row r="4" spans="1:31" x14ac:dyDescent="0.25">
      <c r="A4" s="22">
        <f t="shared" ref="A4:A67" si="0">A3+TIME(0,5,0)</f>
        <v>6.9444444444444441E-3</v>
      </c>
      <c r="B4" s="32">
        <v>0.03</v>
      </c>
      <c r="C4" s="43">
        <v>0.06</v>
      </c>
      <c r="D4" s="54">
        <v>0.187</v>
      </c>
      <c r="E4" s="36">
        <v>5.6000000000000001E-2</v>
      </c>
      <c r="F4" s="18">
        <v>5.0000000000000001E-3</v>
      </c>
      <c r="G4" s="43">
        <v>0.03</v>
      </c>
      <c r="H4" s="43">
        <v>0.14000000000000001</v>
      </c>
      <c r="I4" s="43">
        <v>2.5000000000000001E-2</v>
      </c>
      <c r="J4" s="43">
        <v>9.9865951742627319E-3</v>
      </c>
      <c r="K4" s="39">
        <v>4.4400000000000002E-2</v>
      </c>
      <c r="L4" s="39">
        <v>8.3300000000000006E-3</v>
      </c>
      <c r="M4" s="39">
        <v>8.0000000000000002E-3</v>
      </c>
      <c r="N4" s="39">
        <v>8.0000000000000002E-3</v>
      </c>
      <c r="O4" s="43">
        <v>8.3833333333333329E-3</v>
      </c>
      <c r="P4" s="93">
        <v>5.0000000000000001E-3</v>
      </c>
      <c r="Q4" s="39">
        <v>4.1700000000000001E-3</v>
      </c>
      <c r="R4" s="39">
        <v>4.1700000000000001E-3</v>
      </c>
      <c r="S4" s="39">
        <v>4.0000000000000001E-3</v>
      </c>
      <c r="T4" s="43">
        <v>4.0000000000000001E-3</v>
      </c>
      <c r="U4" s="43">
        <v>3.9916666666666668E-3</v>
      </c>
      <c r="V4" s="18">
        <v>1.7500000000000003E-3</v>
      </c>
      <c r="W4" s="88">
        <v>1.75E-3</v>
      </c>
      <c r="X4" s="51">
        <v>2E-3</v>
      </c>
      <c r="Y4" s="51">
        <v>2.0799999999999998E-3</v>
      </c>
      <c r="Z4" s="51">
        <v>1.39E-3</v>
      </c>
      <c r="AA4" s="51">
        <v>3.0000000000000001E-3</v>
      </c>
      <c r="AB4" s="43">
        <v>1.8E-3</v>
      </c>
    </row>
    <row r="5" spans="1:31" x14ac:dyDescent="0.25">
      <c r="A5" s="22">
        <f t="shared" si="0"/>
        <v>1.0416666666666666E-2</v>
      </c>
      <c r="B5" s="32">
        <v>0.06</v>
      </c>
      <c r="C5" s="43">
        <v>0.09</v>
      </c>
      <c r="D5" s="54">
        <v>0.14000000000000001</v>
      </c>
      <c r="E5" s="36">
        <v>6.9000000000000006E-2</v>
      </c>
      <c r="F5" s="18">
        <v>1.4999999999999999E-2</v>
      </c>
      <c r="G5" s="43">
        <v>0.03</v>
      </c>
      <c r="H5" s="43">
        <v>0.107</v>
      </c>
      <c r="I5" s="43">
        <v>2.7E-2</v>
      </c>
      <c r="J5" s="43">
        <v>9.9865951742627336E-3</v>
      </c>
      <c r="K5" s="39">
        <v>4.4400000000000002E-2</v>
      </c>
      <c r="L5" s="39">
        <v>8.3300000000000006E-3</v>
      </c>
      <c r="M5" s="39">
        <v>8.0000000000000002E-3</v>
      </c>
      <c r="N5" s="39">
        <v>8.9999999999999993E-3</v>
      </c>
      <c r="O5" s="43">
        <v>8.5299999999999994E-3</v>
      </c>
      <c r="P5" s="93">
        <v>5.0000000000000001E-3</v>
      </c>
      <c r="Q5" s="39">
        <v>4.1700000000000001E-3</v>
      </c>
      <c r="R5" s="39">
        <v>4.1700000000000001E-3</v>
      </c>
      <c r="S5" s="39">
        <v>4.0000000000000001E-3</v>
      </c>
      <c r="T5" s="43">
        <v>4.0000000000000001E-3</v>
      </c>
      <c r="U5" s="43">
        <v>4.1650000000000003E-3</v>
      </c>
      <c r="V5" s="18">
        <v>1.6833333333333327E-3</v>
      </c>
      <c r="W5" s="88">
        <v>1.75E-3</v>
      </c>
      <c r="X5" s="51">
        <v>2E-3</v>
      </c>
      <c r="Y5" s="51">
        <v>2.0799999999999998E-3</v>
      </c>
      <c r="Z5" s="51">
        <v>1.39E-3</v>
      </c>
      <c r="AA5" s="51">
        <v>3.0000000000000001E-3</v>
      </c>
      <c r="AB5" s="43">
        <v>1.8999999999999998E-3</v>
      </c>
    </row>
    <row r="6" spans="1:31" x14ac:dyDescent="0.25">
      <c r="A6" s="22">
        <f t="shared" si="0"/>
        <v>1.3888888888888888E-2</v>
      </c>
      <c r="B6" s="32">
        <v>0.1</v>
      </c>
      <c r="C6" s="43">
        <v>0.09</v>
      </c>
      <c r="D6" s="54">
        <v>9.3299999999999994E-2</v>
      </c>
      <c r="E6" s="36">
        <v>0.107</v>
      </c>
      <c r="F6" s="18">
        <v>1.4999999999999999E-2</v>
      </c>
      <c r="G6" s="43">
        <v>0.03</v>
      </c>
      <c r="H6" s="43">
        <v>0.08</v>
      </c>
      <c r="I6" s="43">
        <v>2.9000000000000001E-2</v>
      </c>
      <c r="J6" s="43">
        <v>9.9865951742627301E-3</v>
      </c>
      <c r="K6" s="39">
        <v>4.5600000000000002E-2</v>
      </c>
      <c r="L6" s="39">
        <v>1.06E-2</v>
      </c>
      <c r="M6" s="39">
        <v>8.0000000000000002E-3</v>
      </c>
      <c r="N6" s="39">
        <v>8.9999999999999993E-3</v>
      </c>
      <c r="O6" s="43">
        <v>8.6616666666666682E-3</v>
      </c>
      <c r="P6" s="93">
        <v>5.0000000000000001E-3</v>
      </c>
      <c r="Q6" s="39">
        <v>4.1700000000000001E-3</v>
      </c>
      <c r="R6" s="39">
        <v>4.1700000000000001E-3</v>
      </c>
      <c r="S6" s="39">
        <v>4.0000000000000001E-3</v>
      </c>
      <c r="T6" s="43">
        <v>4.0000000000000001E-3</v>
      </c>
      <c r="U6" s="43">
        <v>4.2633333333333325E-3</v>
      </c>
      <c r="V6" s="18">
        <v>1.6166666666666673E-3</v>
      </c>
      <c r="W6" s="88">
        <v>1.75E-3</v>
      </c>
      <c r="X6" s="51">
        <v>2E-3</v>
      </c>
      <c r="Y6" s="51">
        <v>2.0799999999999998E-3</v>
      </c>
      <c r="Z6" s="51">
        <v>1.39E-3</v>
      </c>
      <c r="AA6" s="51">
        <v>3.0000000000000001E-3</v>
      </c>
      <c r="AB6" s="43">
        <v>1.9000000000000006E-3</v>
      </c>
    </row>
    <row r="7" spans="1:31" x14ac:dyDescent="0.25">
      <c r="A7" s="22">
        <f t="shared" si="0"/>
        <v>1.7361111111111112E-2</v>
      </c>
      <c r="B7" s="32">
        <v>0.15</v>
      </c>
      <c r="C7" s="43">
        <v>0.1</v>
      </c>
      <c r="D7" s="54">
        <v>7.0000000000000007E-2</v>
      </c>
      <c r="E7" s="36">
        <v>0.25600000000000001</v>
      </c>
      <c r="F7" s="18">
        <v>0.03</v>
      </c>
      <c r="G7" s="43">
        <v>0.05</v>
      </c>
      <c r="H7" s="43">
        <v>7.3300000000000004E-2</v>
      </c>
      <c r="I7" s="43">
        <v>3.2000000000000001E-2</v>
      </c>
      <c r="J7" s="43">
        <v>9.9865951742627371E-3</v>
      </c>
      <c r="K7" s="39">
        <v>4.7199999999999999E-2</v>
      </c>
      <c r="L7" s="39">
        <v>1.3899999999999999E-2</v>
      </c>
      <c r="M7" s="39">
        <v>8.0000000000000002E-3</v>
      </c>
      <c r="N7" s="39">
        <v>8.9999999999999993E-3</v>
      </c>
      <c r="O7" s="43">
        <v>8.7883333333333355E-3</v>
      </c>
      <c r="P7" s="93">
        <v>5.0000000000000001E-3</v>
      </c>
      <c r="Q7" s="39">
        <v>4.1700000000000001E-3</v>
      </c>
      <c r="R7" s="39">
        <v>4.1700000000000001E-3</v>
      </c>
      <c r="S7" s="39">
        <v>4.0000000000000001E-3</v>
      </c>
      <c r="T7" s="43">
        <v>4.0000000000000001E-3</v>
      </c>
      <c r="U7" s="43">
        <v>4.3266666666666662E-3</v>
      </c>
      <c r="V7" s="18">
        <v>1.5500000000000002E-3</v>
      </c>
      <c r="W7" s="88">
        <v>1.75E-3</v>
      </c>
      <c r="X7" s="51">
        <v>2E-3</v>
      </c>
      <c r="Y7" s="51">
        <v>2.0799999999999998E-3</v>
      </c>
      <c r="Z7" s="51">
        <v>1.39E-3</v>
      </c>
      <c r="AA7" s="51">
        <v>3.0000000000000001E-3</v>
      </c>
      <c r="AB7" s="43">
        <v>2E-3</v>
      </c>
    </row>
    <row r="8" spans="1:31" x14ac:dyDescent="0.25">
      <c r="A8" s="22">
        <f t="shared" si="0"/>
        <v>2.0833333333333336E-2</v>
      </c>
      <c r="B8" s="32">
        <v>0.21</v>
      </c>
      <c r="C8" s="43">
        <v>0.11</v>
      </c>
      <c r="D8" s="54">
        <v>5.67E-2</v>
      </c>
      <c r="E8" s="36">
        <v>0.104</v>
      </c>
      <c r="F8" s="18">
        <v>0.03</v>
      </c>
      <c r="G8" s="43">
        <v>0.04</v>
      </c>
      <c r="H8" s="43">
        <v>6.6699999999999995E-2</v>
      </c>
      <c r="I8" s="43">
        <v>3.6999999999999998E-2</v>
      </c>
      <c r="J8" s="43">
        <v>9.9865951742627301E-3</v>
      </c>
      <c r="K8" s="39">
        <v>4.7199999999999999E-2</v>
      </c>
      <c r="L8" s="39">
        <v>1.3899999999999999E-2</v>
      </c>
      <c r="M8" s="39">
        <v>8.0000000000000002E-3</v>
      </c>
      <c r="N8" s="39">
        <v>8.9999999999999993E-3</v>
      </c>
      <c r="O8" s="43">
        <v>8.8666666666666616E-3</v>
      </c>
      <c r="P8" s="93">
        <v>5.0000000000000001E-3</v>
      </c>
      <c r="Q8" s="39">
        <v>4.1700000000000001E-3</v>
      </c>
      <c r="R8" s="39">
        <v>4.1700000000000001E-3</v>
      </c>
      <c r="S8" s="39">
        <v>4.0000000000000001E-3</v>
      </c>
      <c r="T8" s="43">
        <v>4.0000000000000001E-3</v>
      </c>
      <c r="U8" s="43">
        <v>4.3833333333333363E-3</v>
      </c>
      <c r="V8" s="18">
        <v>1.4999999999999996E-3</v>
      </c>
      <c r="W8" s="88">
        <v>1.75E-3</v>
      </c>
      <c r="X8" s="51">
        <v>2E-3</v>
      </c>
      <c r="Y8" s="51">
        <v>2.0799999999999998E-3</v>
      </c>
      <c r="Z8" s="51">
        <v>1.39E-3</v>
      </c>
      <c r="AA8" s="51">
        <v>3.0000000000000001E-3</v>
      </c>
      <c r="AB8" s="43">
        <v>2E-3</v>
      </c>
    </row>
    <row r="9" spans="1:31" x14ac:dyDescent="0.25">
      <c r="A9" s="22">
        <f t="shared" si="0"/>
        <v>2.4305555555555559E-2</v>
      </c>
      <c r="B9" s="32">
        <v>0.16</v>
      </c>
      <c r="C9" s="43">
        <v>0.14000000000000001</v>
      </c>
      <c r="D9" s="54">
        <v>3.3300000000000003E-2</v>
      </c>
      <c r="E9" s="36">
        <v>0.08</v>
      </c>
      <c r="F9" s="18">
        <v>0.05</v>
      </c>
      <c r="G9" s="43">
        <v>0.04</v>
      </c>
      <c r="H9" s="43">
        <v>0.05</v>
      </c>
      <c r="I9" s="43">
        <v>4.4999999999999998E-2</v>
      </c>
      <c r="J9" s="43">
        <v>1.1639857015192143E-2</v>
      </c>
      <c r="K9" s="39">
        <v>4.7199999999999999E-2</v>
      </c>
      <c r="L9" s="39">
        <v>1.3899999999999999E-2</v>
      </c>
      <c r="M9" s="39">
        <v>8.9999999999999993E-3</v>
      </c>
      <c r="N9" s="39">
        <v>8.9999999999999993E-3</v>
      </c>
      <c r="O9" s="43">
        <v>8.8000000000000023E-3</v>
      </c>
      <c r="P9" s="93">
        <v>5.0000000000000001E-3</v>
      </c>
      <c r="Q9" s="39">
        <v>4.1700000000000001E-3</v>
      </c>
      <c r="R9" s="39">
        <v>4.1700000000000001E-3</v>
      </c>
      <c r="S9" s="39">
        <v>4.0000000000000001E-3</v>
      </c>
      <c r="T9" s="43">
        <v>4.0000000000000001E-3</v>
      </c>
      <c r="U9" s="43">
        <v>4.4499999999999991E-3</v>
      </c>
      <c r="V9" s="18">
        <v>1.4999999999999996E-3</v>
      </c>
      <c r="W9" s="88">
        <v>1.75E-3</v>
      </c>
      <c r="X9" s="51">
        <v>2E-3</v>
      </c>
      <c r="Y9" s="51">
        <v>2.0799999999999998E-3</v>
      </c>
      <c r="Z9" s="51">
        <v>1.39E-3</v>
      </c>
      <c r="AA9" s="51">
        <v>3.0000000000000001E-3</v>
      </c>
      <c r="AB9" s="43">
        <v>2.0999999999999994E-3</v>
      </c>
    </row>
    <row r="10" spans="1:31" x14ac:dyDescent="0.25">
      <c r="A10" s="22">
        <f t="shared" si="0"/>
        <v>2.7777777777777783E-2</v>
      </c>
      <c r="B10" s="32">
        <v>0.12</v>
      </c>
      <c r="C10" s="43">
        <v>0.11</v>
      </c>
      <c r="D10" s="54">
        <v>3.3300000000000003E-2</v>
      </c>
      <c r="E10" s="36">
        <v>6.8000000000000005E-2</v>
      </c>
      <c r="F10" s="18">
        <v>0.05</v>
      </c>
      <c r="G10" s="43">
        <v>0.05</v>
      </c>
      <c r="H10" s="43">
        <v>4.3299999999999998E-2</v>
      </c>
      <c r="I10" s="43">
        <v>6.5000000000000002E-2</v>
      </c>
      <c r="J10" s="43">
        <v>1.1639857015192129E-2</v>
      </c>
      <c r="K10" s="39">
        <v>3.1699999999999999E-2</v>
      </c>
      <c r="L10" s="39">
        <v>1.17E-2</v>
      </c>
      <c r="M10" s="39">
        <v>8.9999999999999993E-3</v>
      </c>
      <c r="N10" s="39">
        <v>8.9999999999999993E-3</v>
      </c>
      <c r="O10" s="43">
        <v>8.9916666666666686E-3</v>
      </c>
      <c r="P10" s="93">
        <v>5.0000000000000001E-3</v>
      </c>
      <c r="Q10" s="39">
        <v>6.3899999999999998E-3</v>
      </c>
      <c r="R10" s="39">
        <v>4.1700000000000001E-3</v>
      </c>
      <c r="S10" s="39">
        <v>4.0000000000000001E-3</v>
      </c>
      <c r="T10" s="43">
        <v>4.0000000000000001E-3</v>
      </c>
      <c r="U10" s="43">
        <v>4.4916666666666681E-3</v>
      </c>
      <c r="V10" s="18">
        <v>1.5833333333333342E-3</v>
      </c>
      <c r="W10" s="88">
        <v>1.75E-3</v>
      </c>
      <c r="X10" s="51">
        <v>2E-3</v>
      </c>
      <c r="Y10" s="51">
        <v>2.0799999999999998E-3</v>
      </c>
      <c r="Z10" s="51">
        <v>1.39E-3</v>
      </c>
      <c r="AA10" s="51">
        <v>3.0000000000000001E-3</v>
      </c>
      <c r="AB10" s="43">
        <v>2.0999999999999994E-3</v>
      </c>
    </row>
    <row r="11" spans="1:31" x14ac:dyDescent="0.25">
      <c r="A11" s="22">
        <f t="shared" si="0"/>
        <v>3.1250000000000007E-2</v>
      </c>
      <c r="B11" s="32">
        <v>0.08</v>
      </c>
      <c r="C11" s="43">
        <v>0.08</v>
      </c>
      <c r="D11" s="54">
        <v>3.3300000000000003E-2</v>
      </c>
      <c r="E11" s="36">
        <v>0.06</v>
      </c>
      <c r="F11" s="18">
        <v>7.4999999999999997E-2</v>
      </c>
      <c r="G11" s="43">
        <v>0.05</v>
      </c>
      <c r="H11" s="43">
        <v>3.6700000000000003E-2</v>
      </c>
      <c r="I11" s="43">
        <v>0.17499999999999999</v>
      </c>
      <c r="J11" s="43">
        <v>1.1684539767649688E-2</v>
      </c>
      <c r="K11" s="39">
        <v>2.7799999999999998E-2</v>
      </c>
      <c r="L11" s="39">
        <v>1.11E-2</v>
      </c>
      <c r="M11" s="39">
        <v>8.9999999999999993E-3</v>
      </c>
      <c r="N11" s="39">
        <v>8.9999999999999993E-3</v>
      </c>
      <c r="O11" s="43">
        <v>9.17833333333333E-3</v>
      </c>
      <c r="P11" s="93">
        <v>5.0000000000000001E-3</v>
      </c>
      <c r="Q11" s="39">
        <v>6.94E-3</v>
      </c>
      <c r="R11" s="39">
        <v>4.1700000000000001E-3</v>
      </c>
      <c r="S11" s="39">
        <v>4.0000000000000001E-3</v>
      </c>
      <c r="T11" s="43">
        <v>4.0000000000000001E-3</v>
      </c>
      <c r="U11" s="43">
        <v>4.4783333333333342E-3</v>
      </c>
      <c r="V11" s="18">
        <v>1.6499999999999987E-3</v>
      </c>
      <c r="W11" s="88">
        <v>1.75E-3</v>
      </c>
      <c r="X11" s="51">
        <v>2E-3</v>
      </c>
      <c r="Y11" s="51">
        <v>2.0799999999999998E-3</v>
      </c>
      <c r="Z11" s="51">
        <v>1.39E-3</v>
      </c>
      <c r="AA11" s="51">
        <v>3.0000000000000001E-3</v>
      </c>
      <c r="AB11" s="43">
        <v>2.2499999999999985E-3</v>
      </c>
    </row>
    <row r="12" spans="1:31" x14ac:dyDescent="0.25">
      <c r="A12" s="22">
        <f t="shared" si="0"/>
        <v>3.4722222222222231E-2</v>
      </c>
      <c r="B12" s="32">
        <v>0.05</v>
      </c>
      <c r="C12" s="43">
        <v>7.0000000000000007E-2</v>
      </c>
      <c r="D12" s="54">
        <v>3.3300000000000003E-2</v>
      </c>
      <c r="E12" s="36">
        <v>5.3999999999999999E-2</v>
      </c>
      <c r="F12" s="18">
        <v>7.4999999999999997E-2</v>
      </c>
      <c r="G12" s="43">
        <v>0.05</v>
      </c>
      <c r="H12" s="43">
        <v>3.3300000000000003E-2</v>
      </c>
      <c r="I12" s="43">
        <v>7.6999999999999999E-2</v>
      </c>
      <c r="J12" s="43">
        <v>1.1684539767649688E-2</v>
      </c>
      <c r="K12" s="39">
        <v>2.7799999999999998E-2</v>
      </c>
      <c r="L12" s="39">
        <v>1.11E-2</v>
      </c>
      <c r="M12" s="39">
        <v>8.9999999999999993E-3</v>
      </c>
      <c r="N12" s="39">
        <v>8.9999999999999993E-3</v>
      </c>
      <c r="O12" s="43">
        <v>9.3700000000000033E-3</v>
      </c>
      <c r="P12" s="93">
        <v>5.0000000000000001E-3</v>
      </c>
      <c r="Q12" s="39">
        <v>6.94E-3</v>
      </c>
      <c r="R12" s="39">
        <v>4.1700000000000001E-3</v>
      </c>
      <c r="S12" s="39">
        <v>4.0000000000000001E-3</v>
      </c>
      <c r="T12" s="43">
        <v>4.0000000000000001E-3</v>
      </c>
      <c r="U12" s="43">
        <v>4.5049999999999951E-3</v>
      </c>
      <c r="V12" s="18">
        <v>1.7166666666666684E-3</v>
      </c>
      <c r="W12" s="88">
        <v>1.75E-3</v>
      </c>
      <c r="X12" s="51">
        <v>2E-3</v>
      </c>
      <c r="Y12" s="51">
        <v>2.0799999999999998E-3</v>
      </c>
      <c r="Z12" s="51">
        <v>1.39E-3</v>
      </c>
      <c r="AA12" s="51">
        <v>3.0000000000000001E-3</v>
      </c>
      <c r="AB12" s="43">
        <v>2.250000000000002E-3</v>
      </c>
    </row>
    <row r="13" spans="1:31" x14ac:dyDescent="0.25">
      <c r="A13" s="22">
        <f t="shared" si="0"/>
        <v>3.8194444444444454E-2</v>
      </c>
      <c r="B13" s="32">
        <v>0.02</v>
      </c>
      <c r="C13" s="43">
        <v>0.06</v>
      </c>
      <c r="D13" s="54">
        <v>0.02</v>
      </c>
      <c r="E13" s="36">
        <v>0.05</v>
      </c>
      <c r="F13" s="18">
        <v>0.105</v>
      </c>
      <c r="G13" s="43">
        <v>0.06</v>
      </c>
      <c r="H13" s="43">
        <v>3.1699999999999999E-2</v>
      </c>
      <c r="I13" s="43">
        <v>5.7000000000000002E-2</v>
      </c>
      <c r="J13" s="43">
        <v>1.1639857015192129E-2</v>
      </c>
      <c r="K13" s="39">
        <v>2.7199999999999998E-2</v>
      </c>
      <c r="L13" s="39">
        <v>1.11E-2</v>
      </c>
      <c r="M13" s="39">
        <v>0.01</v>
      </c>
      <c r="N13" s="39">
        <v>0.01</v>
      </c>
      <c r="O13" s="43">
        <v>9.6066666666666661E-3</v>
      </c>
      <c r="P13" s="93">
        <v>5.0000000000000001E-3</v>
      </c>
      <c r="Q13" s="39">
        <v>6.94E-3</v>
      </c>
      <c r="R13" s="39">
        <v>4.1700000000000001E-3</v>
      </c>
      <c r="S13" s="39">
        <v>4.0000000000000001E-3</v>
      </c>
      <c r="T13" s="43">
        <v>5.0000000000000001E-3</v>
      </c>
      <c r="U13" s="43">
        <v>4.5516666666666691E-3</v>
      </c>
      <c r="V13" s="18">
        <v>1.7833333333333312E-3</v>
      </c>
      <c r="W13" s="88">
        <v>1.75E-3</v>
      </c>
      <c r="X13" s="51">
        <v>2E-3</v>
      </c>
      <c r="Y13" s="51">
        <v>2.0799999999999998E-3</v>
      </c>
      <c r="Z13" s="51">
        <v>1.39E-3</v>
      </c>
      <c r="AA13" s="51">
        <v>3.0000000000000001E-3</v>
      </c>
      <c r="AB13" s="43">
        <v>2.3499999999999979E-3</v>
      </c>
    </row>
    <row r="14" spans="1:31" ht="15.75" thickBot="1" x14ac:dyDescent="0.3">
      <c r="A14" s="22">
        <f t="shared" si="0"/>
        <v>4.1666666666666678E-2</v>
      </c>
      <c r="B14" s="33">
        <v>0.01</v>
      </c>
      <c r="C14" s="44">
        <v>0.04</v>
      </c>
      <c r="D14" s="55">
        <v>2.6700000000000002E-2</v>
      </c>
      <c r="E14" s="37">
        <v>4.7E-2</v>
      </c>
      <c r="F14" s="18">
        <v>0.105</v>
      </c>
      <c r="G14" s="43">
        <v>0.05</v>
      </c>
      <c r="H14" s="43">
        <v>2.5000000000000001E-2</v>
      </c>
      <c r="I14" s="43">
        <v>4.8000000000000001E-2</v>
      </c>
      <c r="J14" s="43">
        <v>1.1639857015192129E-2</v>
      </c>
      <c r="K14" s="39">
        <v>2.5000000000000001E-2</v>
      </c>
      <c r="L14" s="39">
        <v>1.11E-2</v>
      </c>
      <c r="M14" s="39">
        <v>0.01</v>
      </c>
      <c r="N14" s="39">
        <v>0.01</v>
      </c>
      <c r="O14" s="43">
        <v>9.9749999999999978E-3</v>
      </c>
      <c r="P14" s="93">
        <v>5.0000000000000001E-3</v>
      </c>
      <c r="Q14" s="39">
        <v>6.94E-3</v>
      </c>
      <c r="R14" s="39">
        <v>4.1700000000000001E-3</v>
      </c>
      <c r="S14" s="39">
        <v>4.0000000000000001E-3</v>
      </c>
      <c r="T14" s="43">
        <v>5.0000000000000001E-3</v>
      </c>
      <c r="U14" s="43">
        <v>4.6083333333333323E-3</v>
      </c>
      <c r="V14" s="18">
        <v>1.9333333333333355E-3</v>
      </c>
      <c r="W14" s="88">
        <v>1.75E-3</v>
      </c>
      <c r="X14" s="51">
        <v>2E-3</v>
      </c>
      <c r="Y14" s="51">
        <v>2.0799999999999998E-3</v>
      </c>
      <c r="Z14" s="51">
        <v>1.39E-3</v>
      </c>
      <c r="AA14" s="51">
        <v>3.0000000000000001E-3</v>
      </c>
      <c r="AB14" s="43">
        <v>2.3500000000000014E-3</v>
      </c>
    </row>
    <row r="15" spans="1:31" x14ac:dyDescent="0.25">
      <c r="A15" s="22">
        <f t="shared" si="0"/>
        <v>4.5138888888888902E-2</v>
      </c>
      <c r="F15" s="18">
        <v>0.08</v>
      </c>
      <c r="G15" s="43">
        <v>7.0000000000000007E-2</v>
      </c>
      <c r="H15" s="43">
        <v>1.67E-2</v>
      </c>
      <c r="I15" s="43">
        <v>4.2000000000000003E-2</v>
      </c>
      <c r="J15" s="43">
        <v>1.5013404825737264E-2</v>
      </c>
      <c r="K15" s="39">
        <v>2.5000000000000001E-2</v>
      </c>
      <c r="L15" s="39">
        <v>1.11E-2</v>
      </c>
      <c r="M15" s="39">
        <v>1.0999999999999999E-2</v>
      </c>
      <c r="N15" s="39">
        <v>1.0999999999999999E-2</v>
      </c>
      <c r="O15" s="43">
        <v>1.0608333333333331E-2</v>
      </c>
      <c r="P15" s="93">
        <v>6.0000000000000001E-3</v>
      </c>
      <c r="Q15" s="39">
        <v>6.94E-3</v>
      </c>
      <c r="R15" s="39">
        <v>4.1700000000000001E-3</v>
      </c>
      <c r="S15" s="39">
        <v>4.0000000000000001E-3</v>
      </c>
      <c r="T15" s="43">
        <v>5.0000000000000001E-3</v>
      </c>
      <c r="U15" s="43">
        <v>4.6749999999999986E-3</v>
      </c>
      <c r="V15" s="18">
        <v>2.3333333333333331E-3</v>
      </c>
      <c r="W15" s="88">
        <v>2E-3</v>
      </c>
      <c r="X15" s="51">
        <v>2E-3</v>
      </c>
      <c r="Y15" s="51">
        <v>2.0799999999999998E-3</v>
      </c>
      <c r="Z15" s="51">
        <v>1.39E-3</v>
      </c>
      <c r="AA15" s="51">
        <v>3.0000000000000001E-3</v>
      </c>
      <c r="AB15" s="43">
        <v>2.4000000000000028E-3</v>
      </c>
    </row>
    <row r="16" spans="1:31" x14ac:dyDescent="0.25">
      <c r="A16" s="22">
        <f t="shared" si="0"/>
        <v>4.8611111111111126E-2</v>
      </c>
      <c r="F16" s="18">
        <v>0.08</v>
      </c>
      <c r="G16" s="43">
        <v>7.0000000000000007E-2</v>
      </c>
      <c r="H16" s="43">
        <v>1.67E-2</v>
      </c>
      <c r="I16" s="43">
        <v>3.7999999999999999E-2</v>
      </c>
      <c r="J16" s="43">
        <v>1.5013404825737264E-2</v>
      </c>
      <c r="K16" s="39">
        <v>2.5000000000000001E-2</v>
      </c>
      <c r="L16" s="39">
        <v>1.11E-2</v>
      </c>
      <c r="M16" s="39">
        <v>1.0999999999999999E-2</v>
      </c>
      <c r="N16" s="39">
        <v>1.0999999999999999E-2</v>
      </c>
      <c r="O16" s="43">
        <v>1.0900000000000007E-2</v>
      </c>
      <c r="P16" s="93">
        <v>6.0000000000000001E-3</v>
      </c>
      <c r="Q16" s="39">
        <v>6.94E-3</v>
      </c>
      <c r="R16" s="39">
        <v>4.1700000000000001E-3</v>
      </c>
      <c r="S16" s="39">
        <v>4.0000000000000001E-3</v>
      </c>
      <c r="T16" s="43">
        <v>5.0000000000000001E-3</v>
      </c>
      <c r="U16" s="43">
        <v>4.766666666666669E-3</v>
      </c>
      <c r="V16" s="18">
        <v>2.4166666666666677E-3</v>
      </c>
      <c r="W16" s="88">
        <v>2E-3</v>
      </c>
      <c r="X16" s="51">
        <v>2E-3</v>
      </c>
      <c r="Y16" s="51">
        <v>2.0799999999999998E-3</v>
      </c>
      <c r="Z16" s="51">
        <v>1.39E-3</v>
      </c>
      <c r="AA16" s="51">
        <v>3.0000000000000001E-3</v>
      </c>
      <c r="AB16" s="43">
        <v>2.3999999999999994E-3</v>
      </c>
    </row>
    <row r="17" spans="1:28" x14ac:dyDescent="0.25">
      <c r="A17" s="22">
        <f t="shared" si="0"/>
        <v>5.208333333333335E-2</v>
      </c>
      <c r="F17" s="18">
        <v>0.06</v>
      </c>
      <c r="G17" s="43">
        <v>0.06</v>
      </c>
      <c r="H17" s="43">
        <v>1.67E-2</v>
      </c>
      <c r="I17" s="43">
        <v>3.5000000000000003E-2</v>
      </c>
      <c r="J17" s="43">
        <v>1.5013404825737264E-2</v>
      </c>
      <c r="K17" s="39">
        <v>2.3300000000000001E-2</v>
      </c>
      <c r="L17" s="39">
        <v>1.44E-2</v>
      </c>
      <c r="M17" s="39">
        <v>1.0999999999999999E-2</v>
      </c>
      <c r="N17" s="39">
        <v>1.0999999999999999E-2</v>
      </c>
      <c r="O17" s="43">
        <v>1.1066666666666669E-2</v>
      </c>
      <c r="P17" s="93">
        <v>6.0000000000000001E-3</v>
      </c>
      <c r="Q17" s="39">
        <v>6.11E-3</v>
      </c>
      <c r="R17" s="39">
        <v>4.1700000000000001E-3</v>
      </c>
      <c r="S17" s="39">
        <v>4.0000000000000001E-3</v>
      </c>
      <c r="T17" s="43">
        <v>5.0000000000000001E-3</v>
      </c>
      <c r="U17" s="43">
        <v>4.8399999999999971E-3</v>
      </c>
      <c r="V17" s="18">
        <v>2.4833333333333305E-3</v>
      </c>
      <c r="W17" s="88">
        <v>2E-3</v>
      </c>
      <c r="X17" s="51">
        <v>2E-3</v>
      </c>
      <c r="Y17" s="51">
        <v>2.0799999999999998E-3</v>
      </c>
      <c r="Z17" s="51">
        <v>1.81E-3</v>
      </c>
      <c r="AA17" s="51">
        <v>3.0000000000000001E-3</v>
      </c>
      <c r="AB17" s="43">
        <v>2.4500000000000008E-3</v>
      </c>
    </row>
    <row r="18" spans="1:28" x14ac:dyDescent="0.25">
      <c r="A18" s="22">
        <f t="shared" si="0"/>
        <v>5.5555555555555573E-2</v>
      </c>
      <c r="F18" s="18">
        <v>0.06</v>
      </c>
      <c r="G18" s="43">
        <v>0.05</v>
      </c>
      <c r="H18" s="43">
        <v>1.67E-2</v>
      </c>
      <c r="I18" s="43">
        <v>3.3000000000000002E-2</v>
      </c>
      <c r="J18" s="43">
        <v>1.5013404825737264E-2</v>
      </c>
      <c r="K18" s="39">
        <v>2.2200000000000001E-2</v>
      </c>
      <c r="L18" s="39">
        <v>1.67E-2</v>
      </c>
      <c r="M18" s="39">
        <v>1.0999999999999999E-2</v>
      </c>
      <c r="N18" s="39">
        <v>1.0999999999999999E-2</v>
      </c>
      <c r="O18" s="43">
        <v>1.1198333333333338E-2</v>
      </c>
      <c r="P18" s="93">
        <v>6.0000000000000001E-3</v>
      </c>
      <c r="Q18" s="39">
        <v>5.5599999999999998E-3</v>
      </c>
      <c r="R18" s="39">
        <v>4.1700000000000001E-3</v>
      </c>
      <c r="S18" s="39">
        <v>4.0000000000000001E-3</v>
      </c>
      <c r="T18" s="43">
        <v>5.0000000000000001E-3</v>
      </c>
      <c r="U18" s="43">
        <v>4.9183333333333301E-3</v>
      </c>
      <c r="V18" s="18">
        <v>2.5500000000000002E-3</v>
      </c>
      <c r="W18" s="88">
        <v>2E-3</v>
      </c>
      <c r="X18" s="51">
        <v>3.0000000000000001E-3</v>
      </c>
      <c r="Y18" s="51">
        <v>2.0799999999999998E-3</v>
      </c>
      <c r="Z18" s="51">
        <v>2.0799999999999998E-3</v>
      </c>
      <c r="AA18" s="51">
        <v>3.0000000000000001E-3</v>
      </c>
      <c r="AB18" s="43">
        <v>2.4500000000000008E-3</v>
      </c>
    </row>
    <row r="19" spans="1:28" x14ac:dyDescent="0.25">
      <c r="A19" s="22">
        <f t="shared" si="0"/>
        <v>5.9027777777777797E-2</v>
      </c>
      <c r="F19" s="18">
        <v>0.04</v>
      </c>
      <c r="G19" s="43">
        <v>0.04</v>
      </c>
      <c r="H19" s="43">
        <v>1.67E-2</v>
      </c>
      <c r="I19" s="43">
        <v>3.1E-2</v>
      </c>
      <c r="J19" s="43">
        <v>1.5013404825737264E-2</v>
      </c>
      <c r="K19" s="39">
        <v>2.2200000000000001E-2</v>
      </c>
      <c r="L19" s="39">
        <v>1.67E-2</v>
      </c>
      <c r="M19" s="39">
        <v>1.2999999999999999E-2</v>
      </c>
      <c r="N19" s="39">
        <v>1.0999999999999999E-2</v>
      </c>
      <c r="O19" s="43">
        <v>1.1284999999999989E-2</v>
      </c>
      <c r="P19" s="93">
        <v>6.0000000000000001E-3</v>
      </c>
      <c r="Q19" s="39">
        <v>5.5599999999999998E-3</v>
      </c>
      <c r="R19" s="39">
        <v>4.1700000000000001E-3</v>
      </c>
      <c r="S19" s="39">
        <v>5.0000000000000001E-3</v>
      </c>
      <c r="T19" s="43">
        <v>5.0000000000000001E-3</v>
      </c>
      <c r="U19" s="43">
        <v>5.0083333333333369E-3</v>
      </c>
      <c r="V19" s="18">
        <v>2.6166666666666699E-3</v>
      </c>
      <c r="W19" s="88">
        <v>2E-3</v>
      </c>
      <c r="X19" s="51">
        <v>3.0000000000000001E-3</v>
      </c>
      <c r="Y19" s="51">
        <v>2.0799999999999998E-3</v>
      </c>
      <c r="Z19" s="51">
        <v>2.0799999999999998E-3</v>
      </c>
      <c r="AA19" s="51">
        <v>3.0000000000000001E-3</v>
      </c>
      <c r="AB19" s="43">
        <v>2.4499999999999938E-3</v>
      </c>
    </row>
    <row r="20" spans="1:28" x14ac:dyDescent="0.25">
      <c r="A20" s="22">
        <f t="shared" si="0"/>
        <v>6.2500000000000014E-2</v>
      </c>
      <c r="F20" s="18">
        <v>0.04</v>
      </c>
      <c r="G20" s="43">
        <v>0.04</v>
      </c>
      <c r="H20" s="43">
        <v>1.67E-2</v>
      </c>
      <c r="I20" s="43">
        <v>2.9000000000000001E-2</v>
      </c>
      <c r="J20" s="43">
        <v>1.5013404825737264E-2</v>
      </c>
      <c r="K20" s="39">
        <v>2.2200000000000001E-2</v>
      </c>
      <c r="L20" s="39">
        <v>1.67E-2</v>
      </c>
      <c r="M20" s="39">
        <v>1.2999999999999999E-2</v>
      </c>
      <c r="N20" s="39">
        <v>1.0999999999999999E-2</v>
      </c>
      <c r="O20" s="43">
        <v>1.1143333333333338E-2</v>
      </c>
      <c r="P20" s="93">
        <v>6.0000000000000001E-3</v>
      </c>
      <c r="Q20" s="39">
        <v>5.5599999999999998E-3</v>
      </c>
      <c r="R20" s="39">
        <v>4.1700000000000001E-3</v>
      </c>
      <c r="S20" s="39">
        <v>5.0000000000000001E-3</v>
      </c>
      <c r="T20" s="43">
        <v>5.0000000000000001E-3</v>
      </c>
      <c r="U20" s="43">
        <v>5.1083333333333258E-3</v>
      </c>
      <c r="V20" s="18">
        <v>2.6333333333333347E-3</v>
      </c>
      <c r="W20" s="88">
        <v>2E-3</v>
      </c>
      <c r="X20" s="51">
        <v>3.0000000000000001E-3</v>
      </c>
      <c r="Y20" s="51">
        <v>2.0799999999999998E-3</v>
      </c>
      <c r="Z20" s="51">
        <v>2.0799999999999998E-3</v>
      </c>
      <c r="AA20" s="51">
        <v>3.0000000000000001E-3</v>
      </c>
      <c r="AB20" s="43">
        <v>2.4500000000000008E-3</v>
      </c>
    </row>
    <row r="21" spans="1:28" x14ac:dyDescent="0.25">
      <c r="A21" s="22">
        <f t="shared" si="0"/>
        <v>6.5972222222222238E-2</v>
      </c>
      <c r="F21" s="18">
        <v>2.5000000000000001E-2</v>
      </c>
      <c r="G21" s="43">
        <v>0.04</v>
      </c>
      <c r="H21" s="43">
        <v>1.67E-2</v>
      </c>
      <c r="I21" s="43">
        <v>2.8000000000000001E-2</v>
      </c>
      <c r="J21" s="43">
        <v>1.3337801608579086E-2</v>
      </c>
      <c r="K21" s="39">
        <v>1.67E-2</v>
      </c>
      <c r="L21" s="39">
        <v>1.9400000000000001E-2</v>
      </c>
      <c r="M21" s="39">
        <v>1.4E-2</v>
      </c>
      <c r="N21" s="39">
        <v>0.01</v>
      </c>
      <c r="O21" s="43">
        <v>1.0416666666666657E-2</v>
      </c>
      <c r="P21" s="93">
        <v>6.0000000000000001E-3</v>
      </c>
      <c r="Q21" s="39">
        <v>5.5599999999999998E-3</v>
      </c>
      <c r="R21" s="39">
        <v>4.1700000000000001E-3</v>
      </c>
      <c r="S21" s="39">
        <v>5.0000000000000001E-3</v>
      </c>
      <c r="T21" s="43">
        <v>5.0000000000000001E-3</v>
      </c>
      <c r="U21" s="43">
        <v>5.2083333333333426E-3</v>
      </c>
      <c r="V21" s="18">
        <v>2.4999999999999953E-3</v>
      </c>
      <c r="W21" s="88">
        <v>2E-3</v>
      </c>
      <c r="X21" s="51">
        <v>3.0000000000000001E-3</v>
      </c>
      <c r="Y21" s="51">
        <v>2.0799999999999998E-3</v>
      </c>
      <c r="Z21" s="51">
        <v>2.0799999999999998E-3</v>
      </c>
      <c r="AA21" s="51">
        <v>3.0000000000000001E-3</v>
      </c>
      <c r="AB21" s="43">
        <v>2.4500000000000008E-3</v>
      </c>
    </row>
    <row r="22" spans="1:28" x14ac:dyDescent="0.25">
      <c r="A22" s="22">
        <f t="shared" si="0"/>
        <v>6.9444444444444461E-2</v>
      </c>
      <c r="F22" s="18">
        <v>2.5000000000000001E-2</v>
      </c>
      <c r="G22" s="43">
        <v>0.03</v>
      </c>
      <c r="H22" s="43">
        <v>1.67E-2</v>
      </c>
      <c r="I22" s="43">
        <v>2.7E-2</v>
      </c>
      <c r="J22" s="43">
        <v>1.3337801608579086E-2</v>
      </c>
      <c r="K22" s="39">
        <v>1.67E-2</v>
      </c>
      <c r="L22" s="39">
        <v>1.9400000000000001E-2</v>
      </c>
      <c r="M22" s="39">
        <v>1.4E-2</v>
      </c>
      <c r="N22" s="39">
        <v>0.01</v>
      </c>
      <c r="O22" s="43">
        <v>1.0558333333333336E-2</v>
      </c>
      <c r="P22" s="93">
        <v>6.0000000000000001E-3</v>
      </c>
      <c r="Q22" s="39">
        <v>5.5599999999999998E-3</v>
      </c>
      <c r="R22" s="39">
        <v>4.1700000000000001E-3</v>
      </c>
      <c r="S22" s="39">
        <v>5.0000000000000001E-3</v>
      </c>
      <c r="T22" s="43">
        <v>5.0000000000000001E-3</v>
      </c>
      <c r="U22" s="43">
        <v>5.3499999999999936E-3</v>
      </c>
      <c r="V22" s="18">
        <v>2.5000000000000022E-3</v>
      </c>
      <c r="W22" s="88">
        <v>2E-3</v>
      </c>
      <c r="X22" s="51">
        <v>3.0000000000000001E-3</v>
      </c>
      <c r="Y22" s="51">
        <v>2.0799999999999998E-3</v>
      </c>
      <c r="Z22" s="51">
        <v>2.0799999999999998E-3</v>
      </c>
      <c r="AA22" s="51">
        <v>3.0000000000000001E-3</v>
      </c>
      <c r="AB22" s="43">
        <v>2.4500000000000008E-3</v>
      </c>
    </row>
    <row r="23" spans="1:28" x14ac:dyDescent="0.25">
      <c r="A23" s="22">
        <f t="shared" si="0"/>
        <v>7.2916666666666685E-2</v>
      </c>
      <c r="F23" s="18">
        <v>0.01</v>
      </c>
      <c r="G23" s="43">
        <v>0.03</v>
      </c>
      <c r="H23" s="43">
        <v>1.17E-2</v>
      </c>
      <c r="I23" s="43">
        <v>2.5999999999999999E-2</v>
      </c>
      <c r="J23" s="43">
        <v>1.3315460232350335E-2</v>
      </c>
      <c r="K23" s="39">
        <v>1.67E-2</v>
      </c>
      <c r="L23" s="39">
        <v>1.9400000000000001E-2</v>
      </c>
      <c r="M23" s="39">
        <v>1.7000000000000001E-2</v>
      </c>
      <c r="N23" s="39">
        <v>1.0999999999999999E-2</v>
      </c>
      <c r="O23" s="43">
        <v>1.0825000000000001E-2</v>
      </c>
      <c r="P23" s="93">
        <v>6.0000000000000001E-3</v>
      </c>
      <c r="Q23" s="39">
        <v>5.5599999999999998E-3</v>
      </c>
      <c r="R23" s="39">
        <v>4.1700000000000001E-3</v>
      </c>
      <c r="S23" s="39">
        <v>5.0000000000000001E-3</v>
      </c>
      <c r="T23" s="43">
        <v>6.0000000000000001E-3</v>
      </c>
      <c r="U23" s="43">
        <v>5.5233333333333384E-3</v>
      </c>
      <c r="V23" s="18">
        <v>2.433333333333336E-3</v>
      </c>
      <c r="W23" s="88">
        <v>2E-3</v>
      </c>
      <c r="X23" s="51">
        <v>2E-3</v>
      </c>
      <c r="Y23" s="51">
        <v>2.0799999999999998E-3</v>
      </c>
      <c r="Z23" s="51">
        <v>2.0799999999999998E-3</v>
      </c>
      <c r="AA23" s="51">
        <v>3.0000000000000001E-3</v>
      </c>
      <c r="AB23" s="43">
        <v>2.4999999999999953E-3</v>
      </c>
    </row>
    <row r="24" spans="1:28" x14ac:dyDescent="0.25">
      <c r="A24" s="22">
        <f t="shared" si="0"/>
        <v>7.6388888888888909E-2</v>
      </c>
      <c r="F24" s="18">
        <v>0.01</v>
      </c>
      <c r="G24" s="43">
        <v>0.03</v>
      </c>
      <c r="H24" s="43">
        <v>8.3300000000000006E-3</v>
      </c>
      <c r="I24" s="43">
        <v>2.5000000000000001E-2</v>
      </c>
      <c r="J24" s="43">
        <v>1.3315460232350307E-2</v>
      </c>
      <c r="K24" s="39">
        <v>1.5599999999999999E-2</v>
      </c>
      <c r="L24" s="39">
        <v>2.2800000000000001E-2</v>
      </c>
      <c r="M24" s="39">
        <v>1.7000000000000001E-2</v>
      </c>
      <c r="N24" s="39">
        <v>1.0999999999999999E-2</v>
      </c>
      <c r="O24" s="43">
        <v>1.1166666666666658E-2</v>
      </c>
      <c r="P24" s="93">
        <v>6.0000000000000001E-3</v>
      </c>
      <c r="Q24" s="39">
        <v>5.5599999999999998E-3</v>
      </c>
      <c r="R24" s="39">
        <v>4.1700000000000001E-3</v>
      </c>
      <c r="S24" s="39">
        <v>5.0000000000000001E-3</v>
      </c>
      <c r="T24" s="43">
        <v>6.0000000000000001E-3</v>
      </c>
      <c r="U24" s="43">
        <v>5.651666666666666E-3</v>
      </c>
      <c r="V24" s="18">
        <v>2.5166666666666671E-3</v>
      </c>
      <c r="W24" s="88">
        <v>2E-3</v>
      </c>
      <c r="X24" s="51">
        <v>3.0000000000000001E-3</v>
      </c>
      <c r="Y24" s="51">
        <v>2.0799999999999998E-3</v>
      </c>
      <c r="Z24" s="51">
        <v>2.0799999999999998E-3</v>
      </c>
      <c r="AA24" s="51">
        <v>3.0000000000000001E-3</v>
      </c>
      <c r="AB24" s="43">
        <v>2.5000000000000022E-3</v>
      </c>
    </row>
    <row r="25" spans="1:28" x14ac:dyDescent="0.25">
      <c r="A25" s="22">
        <f t="shared" si="0"/>
        <v>7.9861111111111133E-2</v>
      </c>
      <c r="F25" s="18">
        <v>5.0000000000000001E-3</v>
      </c>
      <c r="G25" s="43">
        <v>0.02</v>
      </c>
      <c r="H25" s="43">
        <v>0.01</v>
      </c>
      <c r="I25" s="43">
        <v>2.4E-2</v>
      </c>
      <c r="J25" s="43">
        <v>1.3337801608579114E-2</v>
      </c>
      <c r="K25" s="39">
        <v>1.3899999999999999E-2</v>
      </c>
      <c r="L25" s="39">
        <v>2.7799999999999998E-2</v>
      </c>
      <c r="M25" s="39">
        <v>2.3E-2</v>
      </c>
      <c r="N25" s="39">
        <v>1.2E-2</v>
      </c>
      <c r="O25" s="43">
        <v>1.1603333333333354E-2</v>
      </c>
      <c r="P25" s="93">
        <v>6.0000000000000001E-3</v>
      </c>
      <c r="Q25" s="39">
        <v>5.5599999999999998E-3</v>
      </c>
      <c r="R25" s="39">
        <v>4.1700000000000001E-3</v>
      </c>
      <c r="S25" s="39">
        <v>5.0000000000000001E-3</v>
      </c>
      <c r="T25" s="43">
        <v>6.0000000000000001E-3</v>
      </c>
      <c r="U25" s="43">
        <v>5.7549999999999962E-3</v>
      </c>
      <c r="V25" s="18">
        <v>2.5499999999999967E-3</v>
      </c>
      <c r="W25" s="88">
        <v>2E-3</v>
      </c>
      <c r="X25" s="51">
        <v>3.0000000000000001E-3</v>
      </c>
      <c r="Y25" s="51">
        <v>2.0799999999999998E-3</v>
      </c>
      <c r="Z25" s="51">
        <v>2.0799999999999998E-3</v>
      </c>
      <c r="AA25" s="51">
        <v>3.0000000000000001E-3</v>
      </c>
      <c r="AB25" s="43">
        <v>2.5499999999999967E-3</v>
      </c>
    </row>
    <row r="26" spans="1:28" ht="15.75" thickBot="1" x14ac:dyDescent="0.3">
      <c r="A26" s="22">
        <f t="shared" si="0"/>
        <v>8.3333333333333356E-2</v>
      </c>
      <c r="F26" s="19">
        <v>5.0000000000000001E-3</v>
      </c>
      <c r="G26" s="44">
        <v>0.02</v>
      </c>
      <c r="H26" s="44">
        <v>1.67E-2</v>
      </c>
      <c r="I26" s="44">
        <v>2.3E-2</v>
      </c>
      <c r="J26" s="48">
        <v>1.3337801608579058E-2</v>
      </c>
      <c r="K26" s="46">
        <v>1.3899999999999999E-2</v>
      </c>
      <c r="L26" s="46">
        <v>2.7799999999999998E-2</v>
      </c>
      <c r="M26" s="46">
        <v>2.3E-2</v>
      </c>
      <c r="N26" s="46">
        <v>1.2E-2</v>
      </c>
      <c r="O26" s="48">
        <v>1.2139999999999984E-2</v>
      </c>
      <c r="P26" s="94">
        <v>6.0000000000000001E-3</v>
      </c>
      <c r="Q26" s="46">
        <v>5.5599999999999998E-3</v>
      </c>
      <c r="R26" s="46">
        <v>4.1700000000000001E-3</v>
      </c>
      <c r="S26" s="46">
        <v>5.0000000000000001E-3</v>
      </c>
      <c r="T26" s="48">
        <v>6.0000000000000001E-3</v>
      </c>
      <c r="U26" s="48">
        <v>5.8483333333333443E-3</v>
      </c>
      <c r="V26" s="18">
        <v>2.5166666666666671E-3</v>
      </c>
      <c r="W26" s="88">
        <v>2E-3</v>
      </c>
      <c r="X26" s="51">
        <v>3.0000000000000001E-3</v>
      </c>
      <c r="Y26" s="51">
        <v>2.0799999999999998E-3</v>
      </c>
      <c r="Z26" s="51">
        <v>2.0799999999999998E-3</v>
      </c>
      <c r="AA26" s="51">
        <v>3.0000000000000001E-3</v>
      </c>
      <c r="AB26" s="43">
        <v>2.5500000000000037E-3</v>
      </c>
    </row>
    <row r="27" spans="1:28" x14ac:dyDescent="0.25">
      <c r="A27" s="22">
        <f t="shared" si="0"/>
        <v>8.680555555555558E-2</v>
      </c>
      <c r="J27" s="48">
        <v>1.3337801608579058E-2</v>
      </c>
      <c r="K27" s="46">
        <v>1.3899999999999999E-2</v>
      </c>
      <c r="L27" s="46">
        <v>2.7799999999999998E-2</v>
      </c>
      <c r="M27" s="46">
        <v>7.0000000000000007E-2</v>
      </c>
      <c r="N27" s="46">
        <v>1.2999999999999999E-2</v>
      </c>
      <c r="O27" s="48">
        <v>1.2766666666666648E-2</v>
      </c>
      <c r="P27" s="94">
        <v>8.0000000000000002E-3</v>
      </c>
      <c r="Q27" s="46">
        <v>5.5599999999999998E-3</v>
      </c>
      <c r="R27" s="46">
        <v>4.1700000000000001E-3</v>
      </c>
      <c r="S27" s="46">
        <v>5.0000000000000001E-3</v>
      </c>
      <c r="T27" s="48">
        <v>6.0000000000000001E-3</v>
      </c>
      <c r="U27" s="48">
        <v>5.9416666666666645E-3</v>
      </c>
      <c r="V27" s="18">
        <v>2.5833333333333333E-3</v>
      </c>
      <c r="W27" s="88">
        <v>2.5000000000000001E-3</v>
      </c>
      <c r="X27" s="51">
        <v>3.0000000000000001E-3</v>
      </c>
      <c r="Y27" s="51">
        <v>2.0799999999999998E-3</v>
      </c>
      <c r="Z27" s="51">
        <v>2.0799999999999998E-3</v>
      </c>
      <c r="AA27" s="51">
        <v>3.0000000000000001E-3</v>
      </c>
      <c r="AB27" s="43">
        <v>2.5500000000000037E-3</v>
      </c>
    </row>
    <row r="28" spans="1:28" x14ac:dyDescent="0.25">
      <c r="A28" s="22">
        <f t="shared" si="0"/>
        <v>9.0277777777777804E-2</v>
      </c>
      <c r="J28" s="48">
        <v>1.3337801608579114E-2</v>
      </c>
      <c r="K28" s="46">
        <v>1.17E-2</v>
      </c>
      <c r="L28" s="46">
        <v>3.2199999999999999E-2</v>
      </c>
      <c r="M28" s="46">
        <v>7.0000000000000007E-2</v>
      </c>
      <c r="N28" s="46">
        <v>1.2999999999999999E-2</v>
      </c>
      <c r="O28" s="48">
        <v>1.3708333333333322E-2</v>
      </c>
      <c r="P28" s="94">
        <v>8.0000000000000002E-3</v>
      </c>
      <c r="Q28" s="46">
        <v>5.5599999999999998E-3</v>
      </c>
      <c r="R28" s="46">
        <v>4.1700000000000001E-3</v>
      </c>
      <c r="S28" s="46">
        <v>5.0000000000000001E-3</v>
      </c>
      <c r="T28" s="48">
        <v>6.0000000000000001E-3</v>
      </c>
      <c r="U28" s="48">
        <v>6.0500000000000137E-3</v>
      </c>
      <c r="V28" s="18">
        <v>2.6666666666666713E-3</v>
      </c>
      <c r="W28" s="88">
        <v>2.5000000000000001E-3</v>
      </c>
      <c r="X28" s="51">
        <v>3.0000000000000001E-3</v>
      </c>
      <c r="Y28" s="51">
        <v>2.0799999999999998E-3</v>
      </c>
      <c r="Z28" s="51">
        <v>2.0799999999999998E-3</v>
      </c>
      <c r="AA28" s="51">
        <v>3.0000000000000001E-3</v>
      </c>
      <c r="AB28" s="43">
        <v>2.5499999999999967E-3</v>
      </c>
    </row>
    <row r="29" spans="1:28" x14ac:dyDescent="0.25">
      <c r="A29" s="22">
        <f t="shared" si="0"/>
        <v>9.3750000000000028E-2</v>
      </c>
      <c r="J29" s="48">
        <v>1.3315460232350307E-2</v>
      </c>
      <c r="K29" s="46">
        <v>1.11E-2</v>
      </c>
      <c r="L29" s="46">
        <v>3.3300000000000003E-2</v>
      </c>
      <c r="M29" s="46">
        <v>3.2000000000000001E-2</v>
      </c>
      <c r="N29" s="46">
        <v>1.4999999999999999E-2</v>
      </c>
      <c r="O29" s="48">
        <v>1.4581666666666715E-2</v>
      </c>
      <c r="P29" s="94">
        <v>8.0000000000000002E-3</v>
      </c>
      <c r="Q29" s="46">
        <v>5.5599999999999998E-3</v>
      </c>
      <c r="R29" s="46">
        <v>4.1700000000000001E-3</v>
      </c>
      <c r="S29" s="46">
        <v>5.0000000000000001E-3</v>
      </c>
      <c r="T29" s="48">
        <v>6.0000000000000001E-3</v>
      </c>
      <c r="U29" s="48">
        <v>6.0033333333333327E-3</v>
      </c>
      <c r="V29" s="18">
        <v>2.6666666666666575E-3</v>
      </c>
      <c r="W29" s="88">
        <v>2.5000000000000001E-3</v>
      </c>
      <c r="X29" s="51">
        <v>3.0000000000000001E-3</v>
      </c>
      <c r="Y29" s="51">
        <v>2.0799999999999998E-3</v>
      </c>
      <c r="Z29" s="51">
        <v>2.0799999999999998E-3</v>
      </c>
      <c r="AA29" s="51">
        <v>3.0000000000000001E-3</v>
      </c>
      <c r="AB29" s="43">
        <v>2.6499999999999996E-3</v>
      </c>
    </row>
    <row r="30" spans="1:28" x14ac:dyDescent="0.25">
      <c r="A30" s="22">
        <f t="shared" si="0"/>
        <v>9.7222222222222252E-2</v>
      </c>
      <c r="J30" s="48">
        <v>1.3315460232350307E-2</v>
      </c>
      <c r="K30" s="46">
        <v>1.11E-2</v>
      </c>
      <c r="L30" s="46">
        <v>3.3300000000000003E-2</v>
      </c>
      <c r="M30" s="46">
        <v>3.2000000000000001E-2</v>
      </c>
      <c r="N30" s="46">
        <v>1.4999999999999999E-2</v>
      </c>
      <c r="O30" s="48">
        <v>1.5544999999999976E-2</v>
      </c>
      <c r="P30" s="94">
        <v>7.0000000000000001E-3</v>
      </c>
      <c r="Q30" s="46">
        <v>5.5599999999999998E-3</v>
      </c>
      <c r="R30" s="46">
        <v>4.1700000000000001E-3</v>
      </c>
      <c r="S30" s="46">
        <v>5.0000000000000001E-3</v>
      </c>
      <c r="T30" s="48">
        <v>6.0000000000000001E-3</v>
      </c>
      <c r="U30" s="48">
        <v>6.0666666666666369E-3</v>
      </c>
      <c r="V30" s="18">
        <v>2.7166666666666658E-3</v>
      </c>
      <c r="W30" s="88">
        <v>2.5000000000000001E-3</v>
      </c>
      <c r="X30" s="51">
        <v>3.0000000000000001E-3</v>
      </c>
      <c r="Y30" s="51">
        <v>2.0799999999999998E-3</v>
      </c>
      <c r="Z30" s="51">
        <v>2.0799999999999998E-3</v>
      </c>
      <c r="AA30" s="51">
        <v>3.0000000000000001E-3</v>
      </c>
      <c r="AB30" s="43">
        <v>2.6499999999999996E-3</v>
      </c>
    </row>
    <row r="31" spans="1:28" x14ac:dyDescent="0.25">
      <c r="A31" s="22">
        <f t="shared" si="0"/>
        <v>0.10069444444444448</v>
      </c>
      <c r="J31" s="48">
        <v>1.3337801608579114E-2</v>
      </c>
      <c r="K31" s="46">
        <v>1.11E-2</v>
      </c>
      <c r="L31" s="46">
        <v>3.2800000000000003E-2</v>
      </c>
      <c r="M31" s="46">
        <v>2.4E-2</v>
      </c>
      <c r="N31" s="46">
        <v>1.7000000000000001E-2</v>
      </c>
      <c r="O31" s="48">
        <v>1.6611666666666691E-2</v>
      </c>
      <c r="P31" s="94">
        <v>7.0000000000000001E-3</v>
      </c>
      <c r="Q31" s="46">
        <v>6.11E-3</v>
      </c>
      <c r="R31" s="46">
        <v>4.1700000000000001E-3</v>
      </c>
      <c r="S31" s="46">
        <v>6.0000000000000001E-3</v>
      </c>
      <c r="T31" s="48">
        <v>6.0000000000000001E-3</v>
      </c>
      <c r="U31" s="48">
        <v>6.1833333333333462E-3</v>
      </c>
      <c r="V31" s="18">
        <v>2.7166666666666728E-3</v>
      </c>
      <c r="W31" s="88">
        <v>2.5000000000000001E-3</v>
      </c>
      <c r="X31" s="51">
        <v>3.0000000000000001E-3</v>
      </c>
      <c r="Y31" s="51">
        <v>2.0799999999999998E-3</v>
      </c>
      <c r="Z31" s="51">
        <v>2.0799999999999998E-3</v>
      </c>
      <c r="AA31" s="51">
        <v>3.0000000000000001E-3</v>
      </c>
      <c r="AB31" s="43">
        <v>2.6499999999999996E-3</v>
      </c>
    </row>
    <row r="32" spans="1:28" x14ac:dyDescent="0.25">
      <c r="A32" s="22">
        <f t="shared" si="0"/>
        <v>0.1041666666666667</v>
      </c>
      <c r="J32" s="48">
        <v>1.3337801608579058E-2</v>
      </c>
      <c r="K32" s="46">
        <v>1.11E-2</v>
      </c>
      <c r="L32" s="46">
        <v>3.0599999999999999E-2</v>
      </c>
      <c r="M32" s="46">
        <v>2.4E-2</v>
      </c>
      <c r="N32" s="46">
        <v>1.7000000000000001E-2</v>
      </c>
      <c r="O32" s="48">
        <v>2.1601666666666686E-2</v>
      </c>
      <c r="P32" s="94">
        <v>8.0000000000000002E-3</v>
      </c>
      <c r="Q32" s="46">
        <v>8.3300000000000006E-3</v>
      </c>
      <c r="R32" s="46">
        <v>4.1700000000000001E-3</v>
      </c>
      <c r="S32" s="46">
        <v>6.0000000000000001E-3</v>
      </c>
      <c r="T32" s="48">
        <v>6.0000000000000001E-3</v>
      </c>
      <c r="U32" s="48">
        <v>6.3166666666666649E-3</v>
      </c>
      <c r="V32" s="18">
        <v>2.6666666666666644E-3</v>
      </c>
      <c r="W32" s="88">
        <v>2.5000000000000001E-3</v>
      </c>
      <c r="X32" s="51">
        <v>3.0000000000000001E-3</v>
      </c>
      <c r="Y32" s="51">
        <v>2.0799999999999998E-3</v>
      </c>
      <c r="Z32" s="51">
        <v>2.0799999999999998E-3</v>
      </c>
      <c r="AA32" s="51">
        <v>3.0000000000000001E-3</v>
      </c>
      <c r="AB32" s="43">
        <v>2.6499999999999996E-3</v>
      </c>
    </row>
    <row r="33" spans="1:28" x14ac:dyDescent="0.25">
      <c r="A33" s="22">
        <f t="shared" si="0"/>
        <v>0.10763888888888892</v>
      </c>
      <c r="J33" s="48">
        <v>1.9995531724754267E-2</v>
      </c>
      <c r="K33" s="46">
        <v>1.11E-2</v>
      </c>
      <c r="L33" s="46">
        <v>3.0599999999999999E-2</v>
      </c>
      <c r="M33" s="46">
        <v>0.02</v>
      </c>
      <c r="N33" s="46">
        <v>3.9E-2</v>
      </c>
      <c r="O33" s="48">
        <v>3.8141666666666629E-2</v>
      </c>
      <c r="P33" s="94">
        <v>8.0000000000000002E-3</v>
      </c>
      <c r="Q33" s="46">
        <v>8.3300000000000006E-3</v>
      </c>
      <c r="R33" s="46">
        <v>4.1700000000000001E-3</v>
      </c>
      <c r="S33" s="46">
        <v>6.0000000000000001E-3</v>
      </c>
      <c r="T33" s="48">
        <v>7.0000000000000001E-3</v>
      </c>
      <c r="U33" s="48">
        <v>6.4500000000000113E-3</v>
      </c>
      <c r="V33" s="18">
        <v>2.6666666666666644E-3</v>
      </c>
      <c r="W33" s="88">
        <v>2.5000000000000001E-3</v>
      </c>
      <c r="X33" s="51">
        <v>3.0000000000000001E-3</v>
      </c>
      <c r="Y33" s="51">
        <v>2.0799999999999998E-3</v>
      </c>
      <c r="Z33" s="51">
        <v>2.0799999999999998E-3</v>
      </c>
      <c r="AA33" s="51">
        <v>3.0000000000000001E-3</v>
      </c>
      <c r="AB33" s="43">
        <v>2.7000000000000079E-3</v>
      </c>
    </row>
    <row r="34" spans="1:28" x14ac:dyDescent="0.25">
      <c r="A34" s="22">
        <f t="shared" si="0"/>
        <v>0.11111111111111115</v>
      </c>
      <c r="J34" s="48">
        <v>1.9995531724754212E-2</v>
      </c>
      <c r="K34" s="46">
        <v>1.11E-2</v>
      </c>
      <c r="L34" s="46">
        <v>3.0599999999999999E-2</v>
      </c>
      <c r="M34" s="46">
        <v>0.02</v>
      </c>
      <c r="N34" s="46">
        <v>3.9E-2</v>
      </c>
      <c r="O34" s="48">
        <v>4.1433333333333322E-2</v>
      </c>
      <c r="P34" s="94">
        <v>8.0000000000000002E-3</v>
      </c>
      <c r="Q34" s="46">
        <v>8.3300000000000006E-3</v>
      </c>
      <c r="R34" s="46">
        <v>4.1700000000000001E-3</v>
      </c>
      <c r="S34" s="46">
        <v>6.0000000000000001E-3</v>
      </c>
      <c r="T34" s="48">
        <v>7.0000000000000001E-3</v>
      </c>
      <c r="U34" s="48">
        <v>6.6749999999999865E-3</v>
      </c>
      <c r="V34" s="18">
        <v>2.6666666666666783E-3</v>
      </c>
      <c r="W34" s="88">
        <v>2.5000000000000001E-3</v>
      </c>
      <c r="X34" s="51">
        <v>3.0000000000000001E-3</v>
      </c>
      <c r="Y34" s="51">
        <v>2.0799999999999998E-3</v>
      </c>
      <c r="Z34" s="51">
        <v>2.0799999999999998E-3</v>
      </c>
      <c r="AA34" s="51">
        <v>3.0000000000000001E-3</v>
      </c>
      <c r="AB34" s="43">
        <v>2.6999999999999941E-3</v>
      </c>
    </row>
    <row r="35" spans="1:28" x14ac:dyDescent="0.25">
      <c r="A35" s="22">
        <f t="shared" si="0"/>
        <v>0.11458333333333337</v>
      </c>
      <c r="J35" s="48">
        <v>1.9995531724754212E-2</v>
      </c>
      <c r="K35" s="46">
        <v>9.4400000000000005E-3</v>
      </c>
      <c r="L35" s="46">
        <v>2.5600000000000001E-2</v>
      </c>
      <c r="M35" s="46">
        <v>1.7000000000000001E-2</v>
      </c>
      <c r="N35" s="46">
        <v>4.2000000000000003E-2</v>
      </c>
      <c r="O35" s="48">
        <v>4.2573333333333352E-2</v>
      </c>
      <c r="P35" s="94">
        <v>8.0000000000000002E-3</v>
      </c>
      <c r="Q35" s="46">
        <v>8.3300000000000006E-3</v>
      </c>
      <c r="R35" s="46">
        <v>4.1700000000000001E-3</v>
      </c>
      <c r="S35" s="46">
        <v>6.0000000000000001E-3</v>
      </c>
      <c r="T35" s="48">
        <v>7.0000000000000001E-3</v>
      </c>
      <c r="U35" s="48">
        <v>7.1150000000000102E-3</v>
      </c>
      <c r="V35" s="18">
        <v>2.6666666666666644E-3</v>
      </c>
      <c r="W35" s="88">
        <v>2.5000000000000001E-3</v>
      </c>
      <c r="X35" s="51">
        <v>3.0000000000000001E-3</v>
      </c>
      <c r="Y35" s="51">
        <v>2.0799999999999998E-3</v>
      </c>
      <c r="Z35" s="51">
        <v>2.0799999999999998E-3</v>
      </c>
      <c r="AA35" s="51">
        <v>3.0000000000000001E-3</v>
      </c>
      <c r="AB35" s="43">
        <v>2.6999999999999941E-3</v>
      </c>
    </row>
    <row r="36" spans="1:28" x14ac:dyDescent="0.25">
      <c r="A36" s="22">
        <f t="shared" si="0"/>
        <v>0.11805555555555559</v>
      </c>
      <c r="J36" s="48">
        <v>1.9995531724754267E-2</v>
      </c>
      <c r="K36" s="46">
        <v>8.3300000000000006E-3</v>
      </c>
      <c r="L36" s="46">
        <v>2.2200000000000001E-2</v>
      </c>
      <c r="M36" s="46">
        <v>1.7000000000000001E-2</v>
      </c>
      <c r="N36" s="46">
        <v>4.2000000000000003E-2</v>
      </c>
      <c r="O36" s="48">
        <v>4.2563333333333286E-2</v>
      </c>
      <c r="P36" s="94">
        <v>8.0000000000000002E-3</v>
      </c>
      <c r="Q36" s="46">
        <v>8.3300000000000006E-3</v>
      </c>
      <c r="R36" s="46">
        <v>4.1700000000000001E-3</v>
      </c>
      <c r="S36" s="46">
        <v>6.0000000000000001E-3</v>
      </c>
      <c r="T36" s="48">
        <v>7.0000000000000001E-3</v>
      </c>
      <c r="U36" s="48">
        <v>7.3399999999999854E-3</v>
      </c>
      <c r="V36" s="18">
        <v>2.6666666666666505E-3</v>
      </c>
      <c r="W36" s="88">
        <v>2.5000000000000001E-3</v>
      </c>
      <c r="X36" s="51">
        <v>3.0000000000000001E-3</v>
      </c>
      <c r="Y36" s="51">
        <v>2.0799999999999998E-3</v>
      </c>
      <c r="Z36" s="51">
        <v>2.0799999999999998E-3</v>
      </c>
      <c r="AA36" s="51">
        <v>3.0000000000000001E-3</v>
      </c>
      <c r="AB36" s="43">
        <v>2.7000000000000079E-3</v>
      </c>
    </row>
    <row r="37" spans="1:28" x14ac:dyDescent="0.25">
      <c r="A37" s="22">
        <f t="shared" si="0"/>
        <v>0.12152777777777782</v>
      </c>
      <c r="J37" s="48">
        <v>1.9995531724754267E-2</v>
      </c>
      <c r="K37" s="46">
        <v>8.3300000000000006E-3</v>
      </c>
      <c r="L37" s="46">
        <v>2.2200000000000001E-2</v>
      </c>
      <c r="M37" s="46">
        <v>1.4999999999999999E-2</v>
      </c>
      <c r="N37" s="46">
        <v>4.1000000000000002E-2</v>
      </c>
      <c r="O37" s="48">
        <v>4.1410000000000058E-2</v>
      </c>
      <c r="P37" s="94">
        <v>8.0000000000000002E-3</v>
      </c>
      <c r="Q37" s="46">
        <v>8.3300000000000006E-3</v>
      </c>
      <c r="R37" s="46">
        <v>4.1700000000000001E-3</v>
      </c>
      <c r="S37" s="46">
        <v>7.0000000000000001E-3</v>
      </c>
      <c r="T37" s="48">
        <v>8.0000000000000002E-3</v>
      </c>
      <c r="U37" s="48">
        <v>7.476666666666687E-3</v>
      </c>
      <c r="V37" s="18">
        <v>2.6666666666666783E-3</v>
      </c>
      <c r="W37" s="88">
        <v>2.5000000000000001E-3</v>
      </c>
      <c r="X37" s="51">
        <v>3.0000000000000001E-3</v>
      </c>
      <c r="Y37" s="51">
        <v>2.0799999999999998E-3</v>
      </c>
      <c r="Z37" s="51">
        <v>2.0799999999999998E-3</v>
      </c>
      <c r="AA37" s="51">
        <v>3.0000000000000001E-3</v>
      </c>
      <c r="AB37" s="43">
        <v>2.7000000000000079E-3</v>
      </c>
    </row>
    <row r="38" spans="1:28" x14ac:dyDescent="0.25">
      <c r="A38" s="22">
        <f t="shared" si="0"/>
        <v>0.12500000000000003</v>
      </c>
      <c r="J38" s="48">
        <v>1.9995531724754212E-2</v>
      </c>
      <c r="K38" s="46">
        <v>8.3300000000000006E-3</v>
      </c>
      <c r="L38" s="46">
        <v>2.2200000000000001E-2</v>
      </c>
      <c r="M38" s="46">
        <v>1.4999999999999999E-2</v>
      </c>
      <c r="N38" s="46">
        <v>4.1000000000000002E-2</v>
      </c>
      <c r="O38" s="48">
        <v>3.7093333333333312E-2</v>
      </c>
      <c r="P38" s="94">
        <v>7.0000000000000001E-3</v>
      </c>
      <c r="Q38" s="46">
        <v>8.3300000000000006E-3</v>
      </c>
      <c r="R38" s="46">
        <v>4.1700000000000001E-3</v>
      </c>
      <c r="S38" s="46">
        <v>7.0000000000000001E-3</v>
      </c>
      <c r="T38" s="48">
        <v>8.0000000000000002E-3</v>
      </c>
      <c r="U38" s="48">
        <v>7.5850000000000084E-3</v>
      </c>
      <c r="V38" s="18">
        <v>2.6499999999999996E-3</v>
      </c>
      <c r="W38" s="88">
        <v>2.5000000000000001E-3</v>
      </c>
      <c r="X38" s="51">
        <v>3.0000000000000001E-3</v>
      </c>
      <c r="Y38" s="51">
        <v>2.0799999999999998E-3</v>
      </c>
      <c r="Z38" s="51">
        <v>2.0799999999999998E-3</v>
      </c>
      <c r="AA38" s="51">
        <v>3.0000000000000001E-3</v>
      </c>
      <c r="AB38" s="43">
        <v>2.6999999999999941E-3</v>
      </c>
    </row>
    <row r="39" spans="1:28" x14ac:dyDescent="0.25">
      <c r="A39" s="22">
        <f t="shared" si="0"/>
        <v>0.12847222222222224</v>
      </c>
      <c r="J39" s="48">
        <v>1.5013404825737209E-2</v>
      </c>
      <c r="K39" s="46">
        <v>5.5599999999999998E-3</v>
      </c>
      <c r="L39" s="46">
        <v>1.67E-2</v>
      </c>
      <c r="M39" s="46">
        <v>1.4E-2</v>
      </c>
      <c r="N39" s="46">
        <v>2.4E-2</v>
      </c>
      <c r="O39" s="48">
        <v>2.5566666666666626E-2</v>
      </c>
      <c r="P39" s="94">
        <v>7.0000000000000001E-3</v>
      </c>
      <c r="Q39" s="46">
        <v>9.7199999999999995E-3</v>
      </c>
      <c r="R39" s="46">
        <v>5.5599999999999998E-3</v>
      </c>
      <c r="S39" s="46">
        <v>7.0000000000000001E-3</v>
      </c>
      <c r="T39" s="48">
        <v>8.0000000000000002E-3</v>
      </c>
      <c r="U39" s="48">
        <v>7.6583333333333226E-3</v>
      </c>
      <c r="V39" s="18">
        <v>2.5833333333333264E-3</v>
      </c>
      <c r="W39" s="88">
        <v>3.0000000000000001E-3</v>
      </c>
      <c r="X39" s="51">
        <v>3.0000000000000001E-3</v>
      </c>
      <c r="Y39" s="51">
        <v>2.0799999999999998E-3</v>
      </c>
      <c r="Z39" s="51">
        <v>2.0799999999999998E-3</v>
      </c>
      <c r="AA39" s="51">
        <v>3.0000000000000001E-3</v>
      </c>
      <c r="AB39" s="43">
        <v>2.7500000000000024E-3</v>
      </c>
    </row>
    <row r="40" spans="1:28" x14ac:dyDescent="0.25">
      <c r="A40" s="22">
        <f t="shared" si="0"/>
        <v>0.13194444444444445</v>
      </c>
      <c r="J40" s="48">
        <v>1.501340482573732E-2</v>
      </c>
      <c r="K40" s="46">
        <v>5.5599999999999998E-3</v>
      </c>
      <c r="L40" s="46">
        <v>1.67E-2</v>
      </c>
      <c r="M40" s="46">
        <v>1.4E-2</v>
      </c>
      <c r="N40" s="46">
        <v>2.4E-2</v>
      </c>
      <c r="O40" s="48">
        <v>2.193333333333336E-2</v>
      </c>
      <c r="P40" s="94">
        <v>7.0000000000000001E-3</v>
      </c>
      <c r="Q40" s="46">
        <v>9.7199999999999995E-3</v>
      </c>
      <c r="R40" s="46">
        <v>5.5599999999999998E-3</v>
      </c>
      <c r="S40" s="46">
        <v>7.0000000000000001E-3</v>
      </c>
      <c r="T40" s="48">
        <v>8.0000000000000002E-3</v>
      </c>
      <c r="U40" s="48">
        <v>7.7166666666666495E-3</v>
      </c>
      <c r="V40" s="18">
        <v>2.6666666666666783E-3</v>
      </c>
      <c r="W40" s="88">
        <v>3.0000000000000001E-3</v>
      </c>
      <c r="X40" s="51">
        <v>3.0000000000000001E-3</v>
      </c>
      <c r="Y40" s="51">
        <v>2.0799999999999998E-3</v>
      </c>
      <c r="Z40" s="51">
        <v>2.0799999999999998E-3</v>
      </c>
      <c r="AA40" s="51">
        <v>3.0000000000000001E-3</v>
      </c>
      <c r="AB40" s="43">
        <v>2.7500000000000024E-3</v>
      </c>
    </row>
    <row r="41" spans="1:28" x14ac:dyDescent="0.25">
      <c r="A41" s="22">
        <f t="shared" si="0"/>
        <v>0.13541666666666666</v>
      </c>
      <c r="J41" s="48">
        <v>1.501340482573732E-2</v>
      </c>
      <c r="K41" s="46">
        <v>5.5599999999999998E-3</v>
      </c>
      <c r="L41" s="46">
        <v>1.67E-2</v>
      </c>
      <c r="M41" s="46">
        <v>1.2999999999999999E-2</v>
      </c>
      <c r="N41" s="46">
        <v>1.9E-2</v>
      </c>
      <c r="O41" s="48">
        <v>1.9546666666666601E-2</v>
      </c>
      <c r="P41" s="94">
        <v>7.0000000000000001E-3</v>
      </c>
      <c r="Q41" s="46">
        <v>9.7199999999999995E-3</v>
      </c>
      <c r="R41" s="46">
        <v>5.5599999999999998E-3</v>
      </c>
      <c r="S41" s="46">
        <v>7.0000000000000001E-3</v>
      </c>
      <c r="T41" s="48">
        <v>7.0000000000000001E-3</v>
      </c>
      <c r="U41" s="48">
        <v>7.2166666666666768E-3</v>
      </c>
      <c r="V41" s="18">
        <v>2.6666666666666644E-3</v>
      </c>
      <c r="W41" s="88">
        <v>3.0000000000000001E-3</v>
      </c>
      <c r="X41" s="51">
        <v>3.0000000000000001E-3</v>
      </c>
      <c r="Y41" s="51">
        <v>2.0799999999999998E-3</v>
      </c>
      <c r="Z41" s="51">
        <v>2.0799999999999998E-3</v>
      </c>
      <c r="AA41" s="51">
        <v>3.0000000000000001E-3</v>
      </c>
      <c r="AB41" s="43">
        <v>2.7499999999999886E-3</v>
      </c>
    </row>
    <row r="42" spans="1:28" x14ac:dyDescent="0.25">
      <c r="A42" s="22">
        <f t="shared" si="0"/>
        <v>0.13888888888888887</v>
      </c>
      <c r="J42" s="48">
        <v>1.5013404825737209E-2</v>
      </c>
      <c r="K42" s="46">
        <v>5.5599999999999998E-3</v>
      </c>
      <c r="L42" s="46">
        <v>1.5599999999999999E-2</v>
      </c>
      <c r="M42" s="46">
        <v>1.2999999999999999E-2</v>
      </c>
      <c r="N42" s="46">
        <v>1.9E-2</v>
      </c>
      <c r="O42" s="48">
        <v>1.7535000000000078E-2</v>
      </c>
      <c r="P42" s="94">
        <v>7.0000000000000001E-3</v>
      </c>
      <c r="Q42" s="46">
        <v>9.7199999999999995E-3</v>
      </c>
      <c r="R42" s="46">
        <v>5.5599999999999998E-3</v>
      </c>
      <c r="S42" s="46">
        <v>7.0000000000000001E-3</v>
      </c>
      <c r="T42" s="48">
        <v>7.0000000000000001E-3</v>
      </c>
      <c r="U42" s="48">
        <v>7.1466666666666623E-3</v>
      </c>
      <c r="V42" s="18">
        <v>2.6666666666666644E-3</v>
      </c>
      <c r="W42" s="88">
        <v>3.0000000000000001E-3</v>
      </c>
      <c r="X42" s="51">
        <v>3.0000000000000001E-3</v>
      </c>
      <c r="Y42" s="51">
        <v>2.0799999999999998E-3</v>
      </c>
      <c r="Z42" s="51">
        <v>2.0799999999999998E-3</v>
      </c>
      <c r="AA42" s="51">
        <v>3.0000000000000001E-3</v>
      </c>
      <c r="AB42" s="43">
        <v>2.7500000000000024E-3</v>
      </c>
    </row>
    <row r="43" spans="1:28" x14ac:dyDescent="0.25">
      <c r="A43" s="22">
        <f t="shared" si="0"/>
        <v>0.14236111111111108</v>
      </c>
      <c r="J43" s="48">
        <v>1.5013404825737209E-2</v>
      </c>
      <c r="K43" s="46">
        <v>5.5599999999999998E-3</v>
      </c>
      <c r="L43" s="46">
        <v>1.3899999999999999E-2</v>
      </c>
      <c r="M43" s="46">
        <v>1.2E-2</v>
      </c>
      <c r="N43" s="46">
        <v>1.6E-2</v>
      </c>
      <c r="O43" s="48">
        <v>1.5911666666666657E-2</v>
      </c>
      <c r="P43" s="94">
        <v>7.0000000000000001E-3</v>
      </c>
      <c r="Q43" s="46">
        <v>9.7199999999999995E-3</v>
      </c>
      <c r="R43" s="46">
        <v>5.5599999999999998E-3</v>
      </c>
      <c r="S43" s="46">
        <v>8.0000000000000002E-3</v>
      </c>
      <c r="T43" s="48">
        <v>7.0000000000000001E-3</v>
      </c>
      <c r="U43" s="48">
        <v>7.2766666666666813E-3</v>
      </c>
      <c r="V43" s="18">
        <v>2.7000000000000079E-3</v>
      </c>
      <c r="W43" s="88">
        <v>3.0000000000000001E-3</v>
      </c>
      <c r="X43" s="51">
        <v>3.0000000000000001E-3</v>
      </c>
      <c r="Y43" s="51">
        <v>2.0799999999999998E-3</v>
      </c>
      <c r="Z43" s="51">
        <v>2.0799999999999998E-3</v>
      </c>
      <c r="AA43" s="51">
        <v>3.0000000000000001E-3</v>
      </c>
      <c r="AB43" s="43">
        <v>2.7999999999999969E-3</v>
      </c>
    </row>
    <row r="44" spans="1:28" x14ac:dyDescent="0.25">
      <c r="A44" s="22">
        <f t="shared" si="0"/>
        <v>0.14583333333333329</v>
      </c>
      <c r="J44" s="48">
        <v>1.501340482573732E-2</v>
      </c>
      <c r="K44" s="46">
        <v>5.5599999999999998E-3</v>
      </c>
      <c r="L44" s="46">
        <v>1.3899999999999999E-2</v>
      </c>
      <c r="M44" s="46">
        <v>1.2E-2</v>
      </c>
      <c r="N44" s="46">
        <v>1.6E-2</v>
      </c>
      <c r="O44" s="48">
        <v>1.5131666666666654E-2</v>
      </c>
      <c r="P44" s="94">
        <v>7.0000000000000001E-3</v>
      </c>
      <c r="Q44" s="46">
        <v>9.7199999999999995E-3</v>
      </c>
      <c r="R44" s="46">
        <v>5.5599999999999998E-3</v>
      </c>
      <c r="S44" s="46">
        <v>8.0000000000000002E-3</v>
      </c>
      <c r="T44" s="48">
        <v>7.0000000000000001E-3</v>
      </c>
      <c r="U44" s="48">
        <v>7.4783333333333091E-3</v>
      </c>
      <c r="V44" s="18">
        <v>2.7833333333333321E-3</v>
      </c>
      <c r="W44" s="88">
        <v>3.0000000000000001E-3</v>
      </c>
      <c r="X44" s="51">
        <v>3.0000000000000001E-3</v>
      </c>
      <c r="Y44" s="51">
        <v>2.0799999999999998E-3</v>
      </c>
      <c r="Z44" s="51">
        <v>2.0799999999999998E-3</v>
      </c>
      <c r="AA44" s="51">
        <v>3.0000000000000001E-3</v>
      </c>
      <c r="AB44" s="43">
        <v>2.8000000000000108E-3</v>
      </c>
    </row>
    <row r="45" spans="1:28" x14ac:dyDescent="0.25">
      <c r="A45" s="22">
        <f t="shared" si="0"/>
        <v>0.1493055555555555</v>
      </c>
      <c r="J45" s="48">
        <v>1.501340482573732E-2</v>
      </c>
      <c r="K45" s="46">
        <v>5.5599999999999998E-3</v>
      </c>
      <c r="L45" s="46">
        <v>1.3899999999999999E-2</v>
      </c>
      <c r="M45" s="46">
        <v>1.2E-2</v>
      </c>
      <c r="N45" s="46">
        <v>1.6E-2</v>
      </c>
      <c r="O45" s="48">
        <v>1.6091666666666726E-2</v>
      </c>
      <c r="P45" s="94">
        <v>7.0000000000000001E-3</v>
      </c>
      <c r="Q45" s="46">
        <v>9.7199999999999995E-3</v>
      </c>
      <c r="R45" s="46">
        <v>5.5599999999999998E-3</v>
      </c>
      <c r="S45" s="46">
        <v>8.9999999999999993E-3</v>
      </c>
      <c r="T45" s="48">
        <v>8.0000000000000002E-3</v>
      </c>
      <c r="U45" s="48">
        <v>7.7250000000000096E-3</v>
      </c>
      <c r="V45" s="18">
        <v>2.9166666666666646E-3</v>
      </c>
      <c r="W45" s="88">
        <v>3.0000000000000001E-3</v>
      </c>
      <c r="X45" s="51">
        <v>3.0000000000000001E-3</v>
      </c>
      <c r="Y45" s="51">
        <v>2.0799999999999998E-3</v>
      </c>
      <c r="Z45" s="51">
        <v>2.0799999999999998E-3</v>
      </c>
      <c r="AA45" s="51">
        <v>3.0000000000000001E-3</v>
      </c>
      <c r="AB45" s="43">
        <v>2.8500000000000053E-3</v>
      </c>
    </row>
    <row r="46" spans="1:28" x14ac:dyDescent="0.25">
      <c r="A46" s="22">
        <f t="shared" si="0"/>
        <v>0.15277777777777771</v>
      </c>
      <c r="J46" s="48">
        <v>1.5013404825737209E-2</v>
      </c>
      <c r="K46" s="46">
        <v>5.5599999999999998E-3</v>
      </c>
      <c r="L46" s="46">
        <v>1.17E-2</v>
      </c>
      <c r="M46" s="46">
        <v>1.2E-2</v>
      </c>
      <c r="N46" s="46">
        <v>1.6E-2</v>
      </c>
      <c r="O46" s="48">
        <v>1.5100000000000002E-2</v>
      </c>
      <c r="P46" s="94">
        <v>7.0000000000000001E-3</v>
      </c>
      <c r="Q46" s="46">
        <v>1.3100000000000001E-2</v>
      </c>
      <c r="R46" s="46">
        <v>5.5599999999999998E-3</v>
      </c>
      <c r="S46" s="46">
        <v>8.9999999999999993E-3</v>
      </c>
      <c r="T46" s="48">
        <v>8.0000000000000002E-3</v>
      </c>
      <c r="U46" s="48">
        <v>8.1583333333333785E-3</v>
      </c>
      <c r="V46" s="18">
        <v>2.9999999999999888E-3</v>
      </c>
      <c r="W46" s="88">
        <v>3.0000000000000001E-3</v>
      </c>
      <c r="X46" s="51">
        <v>3.0000000000000001E-3</v>
      </c>
      <c r="Y46" s="51">
        <v>2.0799999999999998E-3</v>
      </c>
      <c r="Z46" s="51">
        <v>1.5299999999999999E-3</v>
      </c>
      <c r="AA46" s="51">
        <v>3.0000000000000001E-3</v>
      </c>
      <c r="AB46" s="43">
        <v>2.8499999999999914E-3</v>
      </c>
    </row>
    <row r="47" spans="1:28" x14ac:dyDescent="0.25">
      <c r="A47" s="22">
        <f t="shared" si="0"/>
        <v>0.15624999999999992</v>
      </c>
      <c r="J47" s="48">
        <v>1.501340482573732E-2</v>
      </c>
      <c r="K47" s="46">
        <v>5.5599999999999998E-3</v>
      </c>
      <c r="L47" s="46">
        <v>1.11E-2</v>
      </c>
      <c r="M47" s="46">
        <v>1.0999999999999999E-2</v>
      </c>
      <c r="N47" s="46">
        <v>1.4E-2</v>
      </c>
      <c r="O47" s="48">
        <v>1.4360000000000039E-2</v>
      </c>
      <c r="P47" s="94">
        <v>7.0000000000000001E-3</v>
      </c>
      <c r="Q47" s="46">
        <v>1.3899999999999999E-2</v>
      </c>
      <c r="R47" s="46">
        <v>5.5599999999999998E-3</v>
      </c>
      <c r="S47" s="46">
        <v>0.01</v>
      </c>
      <c r="T47" s="48">
        <v>8.9999999999999993E-3</v>
      </c>
      <c r="U47" s="48">
        <v>8.5849999999999538E-3</v>
      </c>
      <c r="V47" s="18">
        <v>2.9333333333333433E-3</v>
      </c>
      <c r="W47" s="88">
        <v>3.0000000000000001E-3</v>
      </c>
      <c r="X47" s="51">
        <v>3.0000000000000001E-3</v>
      </c>
      <c r="Y47" s="51">
        <v>2.0799999999999998E-3</v>
      </c>
      <c r="Z47" s="51">
        <v>1.39E-3</v>
      </c>
      <c r="AA47" s="51">
        <v>3.0000000000000001E-3</v>
      </c>
      <c r="AB47" s="43">
        <v>2.8999999999999998E-3</v>
      </c>
    </row>
    <row r="48" spans="1:28" x14ac:dyDescent="0.25">
      <c r="A48" s="22">
        <f t="shared" si="0"/>
        <v>0.15972222222222213</v>
      </c>
      <c r="J48" s="48">
        <v>1.501340482573732E-2</v>
      </c>
      <c r="K48" s="46">
        <v>5.5599999999999998E-3</v>
      </c>
      <c r="L48" s="46">
        <v>1.11E-2</v>
      </c>
      <c r="M48" s="46">
        <v>1.0999999999999999E-2</v>
      </c>
      <c r="N48" s="46">
        <v>1.4E-2</v>
      </c>
      <c r="O48" s="48">
        <v>1.3664999999999927E-2</v>
      </c>
      <c r="P48" s="94">
        <v>7.0000000000000001E-3</v>
      </c>
      <c r="Q48" s="46">
        <v>1.3899999999999999E-2</v>
      </c>
      <c r="R48" s="46">
        <v>5.5599999999999998E-3</v>
      </c>
      <c r="S48" s="46">
        <v>0.01</v>
      </c>
      <c r="T48" s="48">
        <v>8.9999999999999993E-3</v>
      </c>
      <c r="U48" s="48">
        <v>9.0766666666666773E-3</v>
      </c>
      <c r="V48" s="18">
        <v>3.0166666666666536E-3</v>
      </c>
      <c r="W48" s="88">
        <v>3.0000000000000001E-3</v>
      </c>
      <c r="X48" s="51">
        <v>3.0000000000000001E-3</v>
      </c>
      <c r="Y48" s="51">
        <v>2.0799999999999998E-3</v>
      </c>
      <c r="Z48" s="51">
        <v>1.39E-3</v>
      </c>
      <c r="AA48" s="51">
        <v>3.0000000000000001E-3</v>
      </c>
      <c r="AB48" s="43">
        <v>2.8999999999999998E-3</v>
      </c>
    </row>
    <row r="49" spans="1:28" x14ac:dyDescent="0.25">
      <c r="A49" s="22">
        <f t="shared" si="0"/>
        <v>0.16319444444444434</v>
      </c>
      <c r="J49" s="48">
        <v>1.5013404825737209E-2</v>
      </c>
      <c r="K49" s="46">
        <v>5.5599999999999998E-3</v>
      </c>
      <c r="L49" s="46">
        <v>1.06E-2</v>
      </c>
      <c r="M49" s="46">
        <v>1.0999999999999999E-2</v>
      </c>
      <c r="N49" s="46">
        <v>1.2999999999999999E-2</v>
      </c>
      <c r="O49" s="48">
        <v>1.3008333333333288E-2</v>
      </c>
      <c r="P49" s="94">
        <v>7.0000000000000001E-3</v>
      </c>
      <c r="Q49" s="46">
        <v>1.3899999999999999E-2</v>
      </c>
      <c r="R49" s="46">
        <v>5.5599999999999998E-3</v>
      </c>
      <c r="S49" s="46">
        <v>1.2999999999999999E-2</v>
      </c>
      <c r="T49" s="48">
        <v>0.01</v>
      </c>
      <c r="U49" s="48">
        <v>9.6299999999999719E-3</v>
      </c>
      <c r="V49" s="18">
        <v>3.0833333333333407E-3</v>
      </c>
      <c r="W49" s="88">
        <v>3.0000000000000001E-3</v>
      </c>
      <c r="X49" s="51">
        <v>3.0000000000000001E-3</v>
      </c>
      <c r="Y49" s="51">
        <v>2.0799999999999998E-3</v>
      </c>
      <c r="Z49" s="51">
        <v>1.39E-3</v>
      </c>
      <c r="AA49" s="51">
        <v>3.0000000000000001E-3</v>
      </c>
      <c r="AB49" s="43">
        <v>3.0000000000000027E-3</v>
      </c>
    </row>
    <row r="50" spans="1:28" x14ac:dyDescent="0.25">
      <c r="A50" s="22">
        <f t="shared" si="0"/>
        <v>0.16666666666666655</v>
      </c>
      <c r="J50" s="48">
        <v>1.5013404825737209E-2</v>
      </c>
      <c r="K50" s="46">
        <v>5.5599999999999998E-3</v>
      </c>
      <c r="L50" s="46">
        <v>8.3300000000000006E-3</v>
      </c>
      <c r="M50" s="46">
        <v>1.0999999999999999E-2</v>
      </c>
      <c r="N50" s="46">
        <v>1.2999999999999999E-2</v>
      </c>
      <c r="O50" s="48">
        <v>1.239166666666669E-2</v>
      </c>
      <c r="P50" s="94">
        <v>7.0000000000000001E-3</v>
      </c>
      <c r="Q50" s="46">
        <v>1.3899999999999999E-2</v>
      </c>
      <c r="R50" s="46">
        <v>5.5599999999999998E-3</v>
      </c>
      <c r="S50" s="46">
        <v>1.2999999999999999E-2</v>
      </c>
      <c r="T50" s="48">
        <v>0.01</v>
      </c>
      <c r="U50" s="48">
        <v>1.0243333333333327E-2</v>
      </c>
      <c r="V50" s="18">
        <v>3.0833333333333407E-3</v>
      </c>
      <c r="W50" s="88">
        <v>3.0000000000000001E-3</v>
      </c>
      <c r="X50" s="51">
        <v>3.0000000000000001E-3</v>
      </c>
      <c r="Y50" s="51">
        <v>2.0799999999999998E-3</v>
      </c>
      <c r="Z50" s="51">
        <v>1.39E-3</v>
      </c>
      <c r="AA50" s="51">
        <v>3.0000000000000001E-3</v>
      </c>
      <c r="AB50" s="43">
        <v>2.9999999999999888E-3</v>
      </c>
    </row>
    <row r="51" spans="1:28" x14ac:dyDescent="0.25">
      <c r="A51" s="22">
        <f t="shared" si="0"/>
        <v>0.17013888888888876</v>
      </c>
      <c r="J51" s="48">
        <v>1.5013404825737209E-2</v>
      </c>
      <c r="K51" s="46">
        <v>5.5599999999999998E-3</v>
      </c>
      <c r="L51" s="46">
        <v>8.3300000000000006E-3</v>
      </c>
      <c r="M51" s="46">
        <v>0.01</v>
      </c>
      <c r="N51" s="46">
        <v>1.2E-2</v>
      </c>
      <c r="O51" s="48">
        <v>1.1824999999999974E-2</v>
      </c>
      <c r="P51" s="94">
        <v>7.0000000000000001E-3</v>
      </c>
      <c r="Q51" s="46">
        <v>1.3899999999999999E-2</v>
      </c>
      <c r="R51" s="46">
        <v>5.5599999999999998E-3</v>
      </c>
      <c r="S51" s="46">
        <v>0.02</v>
      </c>
      <c r="T51" s="48">
        <v>1.0999999999999999E-2</v>
      </c>
      <c r="U51" s="48">
        <v>1.0916666666666686E-2</v>
      </c>
      <c r="V51" s="18">
        <v>3.0833333333333268E-3</v>
      </c>
      <c r="W51" s="88">
        <v>3.7499999999999999E-3</v>
      </c>
      <c r="X51" s="51">
        <v>3.0000000000000001E-3</v>
      </c>
      <c r="Y51" s="51">
        <v>2.0799999999999998E-3</v>
      </c>
      <c r="Z51" s="51">
        <v>1.39E-3</v>
      </c>
      <c r="AA51" s="51">
        <v>4.0000000000000001E-3</v>
      </c>
      <c r="AB51" s="43">
        <v>3.1000000000000055E-3</v>
      </c>
    </row>
    <row r="52" spans="1:28" x14ac:dyDescent="0.25">
      <c r="A52" s="22">
        <f t="shared" si="0"/>
        <v>0.17361111111111097</v>
      </c>
      <c r="J52" s="48">
        <v>1.501340482573732E-2</v>
      </c>
      <c r="K52" s="46">
        <v>5.5599999999999998E-3</v>
      </c>
      <c r="L52" s="46">
        <v>8.3300000000000006E-3</v>
      </c>
      <c r="M52" s="46">
        <v>0.01</v>
      </c>
      <c r="N52" s="46">
        <v>1.2E-2</v>
      </c>
      <c r="O52" s="48">
        <v>1.1175000000000046E-2</v>
      </c>
      <c r="P52" s="94">
        <v>7.0000000000000001E-3</v>
      </c>
      <c r="Q52" s="46">
        <v>1.3899999999999999E-2</v>
      </c>
      <c r="R52" s="46">
        <v>5.5599999999999998E-3</v>
      </c>
      <c r="S52" s="46">
        <v>0.02</v>
      </c>
      <c r="T52" s="48">
        <v>1.0999999999999999E-2</v>
      </c>
      <c r="U52" s="48">
        <v>1.1891666666666689E-2</v>
      </c>
      <c r="V52" s="18">
        <v>3.0833333333333268E-3</v>
      </c>
      <c r="W52" s="88">
        <v>3.7499999999999999E-3</v>
      </c>
      <c r="X52" s="51">
        <v>3.0000000000000001E-3</v>
      </c>
      <c r="Y52" s="51">
        <v>2.0799999999999998E-3</v>
      </c>
      <c r="Z52" s="51">
        <v>1.39E-3</v>
      </c>
      <c r="AA52" s="51">
        <v>4.0000000000000001E-3</v>
      </c>
      <c r="AB52" s="43">
        <v>3.0999999999999917E-3</v>
      </c>
    </row>
    <row r="53" spans="1:28" x14ac:dyDescent="0.25">
      <c r="A53" s="22">
        <f t="shared" si="0"/>
        <v>0.17708333333333318</v>
      </c>
      <c r="J53" s="48">
        <v>1.501340482573732E-2</v>
      </c>
      <c r="K53" s="46">
        <v>5.5599999999999998E-3</v>
      </c>
      <c r="L53" s="46">
        <v>8.3300000000000006E-3</v>
      </c>
      <c r="M53" s="46">
        <v>0.01</v>
      </c>
      <c r="N53" s="46">
        <v>1.0999999999999999E-2</v>
      </c>
      <c r="O53" s="48">
        <v>1.072833333333334E-2</v>
      </c>
      <c r="P53" s="94">
        <v>7.0000000000000001E-3</v>
      </c>
      <c r="Q53" s="46">
        <v>1.5599999999999999E-2</v>
      </c>
      <c r="R53" s="46">
        <v>5.5599999999999998E-3</v>
      </c>
      <c r="S53" s="46">
        <v>4.8000000000000001E-2</v>
      </c>
      <c r="T53" s="48">
        <v>2.4E-2</v>
      </c>
      <c r="U53" s="48">
        <v>2.3151666666666681E-2</v>
      </c>
      <c r="V53" s="18">
        <v>3.1500000000000139E-3</v>
      </c>
      <c r="W53" s="88">
        <v>3.7499999999999999E-3</v>
      </c>
      <c r="X53" s="51">
        <v>3.0000000000000001E-3</v>
      </c>
      <c r="Y53" s="51">
        <v>2.0799999999999998E-3</v>
      </c>
      <c r="Z53" s="51">
        <v>1.39E-3</v>
      </c>
      <c r="AA53" s="51">
        <v>4.0000000000000001E-3</v>
      </c>
      <c r="AB53" s="43">
        <v>3.2000000000000084E-3</v>
      </c>
    </row>
    <row r="54" spans="1:28" x14ac:dyDescent="0.25">
      <c r="A54" s="22">
        <f t="shared" si="0"/>
        <v>0.18055555555555539</v>
      </c>
      <c r="J54" s="48">
        <v>1.5013404825737209E-2</v>
      </c>
      <c r="K54" s="46">
        <v>5.5599999999999998E-3</v>
      </c>
      <c r="L54" s="46">
        <v>8.3300000000000006E-3</v>
      </c>
      <c r="M54" s="46">
        <v>0.01</v>
      </c>
      <c r="N54" s="46">
        <v>1.0999999999999999E-2</v>
      </c>
      <c r="O54" s="48">
        <v>1.0316666666666641E-2</v>
      </c>
      <c r="P54" s="94">
        <v>7.0000000000000001E-3</v>
      </c>
      <c r="Q54" s="46">
        <v>1.67E-2</v>
      </c>
      <c r="R54" s="46">
        <v>5.5599999999999998E-3</v>
      </c>
      <c r="S54" s="46">
        <v>4.8000000000000001E-2</v>
      </c>
      <c r="T54" s="48">
        <v>2.4E-2</v>
      </c>
      <c r="U54" s="48">
        <v>2.7311666666666623E-2</v>
      </c>
      <c r="V54" s="18">
        <v>3.2166666666666455E-3</v>
      </c>
      <c r="W54" s="88">
        <v>3.7499999999999999E-3</v>
      </c>
      <c r="X54" s="51">
        <v>3.0000000000000001E-3</v>
      </c>
      <c r="Y54" s="51">
        <v>2.0799999999999998E-3</v>
      </c>
      <c r="Z54" s="51">
        <v>1.39E-3</v>
      </c>
      <c r="AA54" s="51">
        <v>4.0000000000000001E-3</v>
      </c>
      <c r="AB54" s="43">
        <v>3.2000000000000084E-3</v>
      </c>
    </row>
    <row r="55" spans="1:28" x14ac:dyDescent="0.25">
      <c r="A55" s="22">
        <f t="shared" si="0"/>
        <v>0.1840277777777776</v>
      </c>
      <c r="J55" s="48">
        <v>1.5013404825737209E-2</v>
      </c>
      <c r="K55" s="46">
        <v>5.5599999999999998E-3</v>
      </c>
      <c r="L55" s="46">
        <v>8.3300000000000006E-3</v>
      </c>
      <c r="M55" s="46">
        <v>0.01</v>
      </c>
      <c r="N55" s="46">
        <v>0.01</v>
      </c>
      <c r="O55" s="48">
        <v>9.943333333333304E-3</v>
      </c>
      <c r="P55" s="94">
        <v>7.0000000000000001E-3</v>
      </c>
      <c r="Q55" s="46">
        <v>1.67E-2</v>
      </c>
      <c r="R55" s="46">
        <v>5.5599999999999998E-3</v>
      </c>
      <c r="S55" s="46">
        <v>0.02</v>
      </c>
      <c r="T55" s="48">
        <v>2.9000000000000001E-2</v>
      </c>
      <c r="U55" s="48">
        <v>2.8598333333333337E-2</v>
      </c>
      <c r="V55" s="18">
        <v>3.2500000000000029E-3</v>
      </c>
      <c r="W55" s="88">
        <v>3.7499999999999999E-3</v>
      </c>
      <c r="X55" s="51">
        <v>3.0000000000000001E-3</v>
      </c>
      <c r="Y55" s="51">
        <v>2.0799999999999998E-3</v>
      </c>
      <c r="Z55" s="51">
        <v>1.39E-3</v>
      </c>
      <c r="AA55" s="51">
        <v>4.0000000000000001E-3</v>
      </c>
      <c r="AB55" s="43">
        <v>3.2999999999999974E-3</v>
      </c>
    </row>
    <row r="56" spans="1:28" x14ac:dyDescent="0.25">
      <c r="A56" s="22">
        <f t="shared" si="0"/>
        <v>0.18749999999999981</v>
      </c>
      <c r="J56" s="48">
        <v>1.501340482573732E-2</v>
      </c>
      <c r="K56" s="46">
        <v>5.5599999999999998E-3</v>
      </c>
      <c r="L56" s="46">
        <v>8.3300000000000006E-3</v>
      </c>
      <c r="M56" s="46">
        <v>0.01</v>
      </c>
      <c r="N56" s="46">
        <v>0.01</v>
      </c>
      <c r="O56" s="48">
        <v>9.7550000000000692E-3</v>
      </c>
      <c r="P56" s="94">
        <v>7.0000000000000001E-3</v>
      </c>
      <c r="Q56" s="46">
        <v>1.67E-2</v>
      </c>
      <c r="R56" s="46">
        <v>5.5599999999999998E-3</v>
      </c>
      <c r="S56" s="46">
        <v>0.02</v>
      </c>
      <c r="T56" s="48">
        <v>2.9000000000000001E-2</v>
      </c>
      <c r="U56" s="48">
        <v>2.911333333333338E-2</v>
      </c>
      <c r="V56" s="18">
        <v>3.2666666666666955E-3</v>
      </c>
      <c r="W56" s="88">
        <v>3.7499999999999999E-3</v>
      </c>
      <c r="X56" s="51">
        <v>3.0000000000000001E-3</v>
      </c>
      <c r="Y56" s="51">
        <v>2.0799999999999998E-3</v>
      </c>
      <c r="Z56" s="51">
        <v>1.39E-3</v>
      </c>
      <c r="AA56" s="51">
        <v>4.0000000000000001E-3</v>
      </c>
      <c r="AB56" s="43">
        <v>3.2999999999999974E-3</v>
      </c>
    </row>
    <row r="57" spans="1:28" x14ac:dyDescent="0.25">
      <c r="A57" s="22">
        <f t="shared" si="0"/>
        <v>0.19097222222222202</v>
      </c>
      <c r="J57" s="48">
        <v>1.3337801608579114E-2</v>
      </c>
      <c r="K57" s="46">
        <v>5.5599999999999998E-3</v>
      </c>
      <c r="L57" s="46">
        <v>5.5599999999999998E-3</v>
      </c>
      <c r="M57" s="46">
        <v>8.9999999999999993E-3</v>
      </c>
      <c r="N57" s="46">
        <v>0.01</v>
      </c>
      <c r="O57" s="48">
        <v>1.0041666666666615E-2</v>
      </c>
      <c r="P57" s="94">
        <v>7.0000000000000001E-3</v>
      </c>
      <c r="Q57" s="46">
        <v>1.67E-2</v>
      </c>
      <c r="R57" s="46">
        <v>5.5599999999999998E-3</v>
      </c>
      <c r="S57" s="46">
        <v>1.4999999999999999E-2</v>
      </c>
      <c r="T57" s="48">
        <v>2.8000000000000001E-2</v>
      </c>
      <c r="U57" s="48">
        <v>2.8833333333333322E-2</v>
      </c>
      <c r="V57" s="18">
        <v>3.333333333333327E-3</v>
      </c>
      <c r="W57" s="88">
        <v>3.7499999999999999E-3</v>
      </c>
      <c r="X57" s="51">
        <v>3.0000000000000001E-3</v>
      </c>
      <c r="Y57" s="51">
        <v>2.0799999999999998E-3</v>
      </c>
      <c r="Z57" s="51">
        <v>1.39E-3</v>
      </c>
      <c r="AA57" s="51">
        <v>4.0000000000000001E-3</v>
      </c>
      <c r="AB57" s="43">
        <v>3.4000000000000141E-3</v>
      </c>
    </row>
    <row r="58" spans="1:28" x14ac:dyDescent="0.25">
      <c r="A58" s="22">
        <f t="shared" si="0"/>
        <v>0.19444444444444423</v>
      </c>
      <c r="J58" s="48">
        <v>1.3337801608579114E-2</v>
      </c>
      <c r="K58" s="46">
        <v>5.5599999999999998E-3</v>
      </c>
      <c r="L58" s="46">
        <v>5.5599999999999998E-3</v>
      </c>
      <c r="M58" s="46">
        <v>8.9999999999999993E-3</v>
      </c>
      <c r="N58" s="46">
        <v>0.01</v>
      </c>
      <c r="O58" s="48">
        <v>9.8333333333333606E-3</v>
      </c>
      <c r="P58" s="94">
        <v>7.0000000000000001E-3</v>
      </c>
      <c r="Q58" s="46">
        <v>1.67E-2</v>
      </c>
      <c r="R58" s="46">
        <v>5.5599999999999998E-3</v>
      </c>
      <c r="S58" s="46">
        <v>1.4999999999999999E-2</v>
      </c>
      <c r="T58" s="48">
        <v>2.8000000000000001E-2</v>
      </c>
      <c r="U58" s="48">
        <v>2.7216666666666611E-2</v>
      </c>
      <c r="V58" s="18">
        <v>3.4166666666666512E-3</v>
      </c>
      <c r="W58" s="88">
        <v>3.7499999999999999E-3</v>
      </c>
      <c r="X58" s="51">
        <v>3.0000000000000001E-3</v>
      </c>
      <c r="Y58" s="51">
        <v>2.0799999999999998E-3</v>
      </c>
      <c r="Z58" s="51">
        <v>1.39E-3</v>
      </c>
      <c r="AA58" s="51">
        <v>4.0000000000000001E-3</v>
      </c>
      <c r="AB58" s="43">
        <v>3.3999999999999864E-3</v>
      </c>
    </row>
    <row r="59" spans="1:28" x14ac:dyDescent="0.25">
      <c r="A59" s="22">
        <f t="shared" si="0"/>
        <v>0.19791666666666644</v>
      </c>
      <c r="J59" s="48">
        <v>1.3315460232350307E-2</v>
      </c>
      <c r="K59" s="46">
        <v>5.5599999999999998E-3</v>
      </c>
      <c r="L59" s="46">
        <v>5.5599999999999998E-3</v>
      </c>
      <c r="M59" s="46">
        <v>8.9999999999999993E-3</v>
      </c>
      <c r="N59" s="46">
        <v>0.01</v>
      </c>
      <c r="O59" s="48">
        <v>9.6533333333334026E-3</v>
      </c>
      <c r="P59" s="94">
        <v>7.0000000000000001E-3</v>
      </c>
      <c r="Q59" s="46">
        <v>1.67E-2</v>
      </c>
      <c r="R59" s="46">
        <v>5.5599999999999998E-3</v>
      </c>
      <c r="S59" s="46">
        <v>1.2999999999999999E-2</v>
      </c>
      <c r="T59" s="48">
        <v>1.9E-2</v>
      </c>
      <c r="U59" s="48">
        <v>1.9369999999999998E-2</v>
      </c>
      <c r="V59" s="18">
        <v>3.4833333333333383E-3</v>
      </c>
      <c r="W59" s="88">
        <v>3.7499999999999999E-3</v>
      </c>
      <c r="X59" s="51">
        <v>3.0000000000000001E-3</v>
      </c>
      <c r="Y59" s="51">
        <v>2.0799999999999998E-3</v>
      </c>
      <c r="Z59" s="51">
        <v>1.39E-3</v>
      </c>
      <c r="AA59" s="51">
        <v>4.0000000000000001E-3</v>
      </c>
      <c r="AB59" s="43">
        <v>3.4499999999999809E-3</v>
      </c>
    </row>
    <row r="60" spans="1:28" x14ac:dyDescent="0.25">
      <c r="A60" s="22">
        <f t="shared" si="0"/>
        <v>0.20138888888888865</v>
      </c>
      <c r="J60" s="48">
        <v>1.3315460232350307E-2</v>
      </c>
      <c r="K60" s="46">
        <v>5.5599999999999998E-3</v>
      </c>
      <c r="L60" s="46">
        <v>5.5599999999999998E-3</v>
      </c>
      <c r="M60" s="46">
        <v>8.9999999999999993E-3</v>
      </c>
      <c r="N60" s="46">
        <v>0.01</v>
      </c>
      <c r="O60" s="48">
        <v>9.4883333333333209E-3</v>
      </c>
      <c r="P60" s="94">
        <v>7.0000000000000001E-3</v>
      </c>
      <c r="Q60" s="46">
        <v>1.61E-2</v>
      </c>
      <c r="R60" s="46">
        <v>6.11E-3</v>
      </c>
      <c r="S60" s="46">
        <v>1.2999999999999999E-2</v>
      </c>
      <c r="T60" s="48">
        <v>1.9E-2</v>
      </c>
      <c r="U60" s="48">
        <v>1.59233333333334E-2</v>
      </c>
      <c r="V60" s="18">
        <v>3.5499999999999976E-3</v>
      </c>
      <c r="W60" s="88">
        <v>3.7499999999999999E-3</v>
      </c>
      <c r="X60" s="51">
        <v>4.0000000000000001E-3</v>
      </c>
      <c r="Y60" s="51">
        <v>2.0799999999999998E-3</v>
      </c>
      <c r="Z60" s="51">
        <v>1.67E-3</v>
      </c>
      <c r="AA60" s="51">
        <v>4.0000000000000001E-3</v>
      </c>
      <c r="AB60" s="43">
        <v>3.4500000000000086E-3</v>
      </c>
    </row>
    <row r="61" spans="1:28" x14ac:dyDescent="0.25">
      <c r="A61" s="22">
        <f t="shared" si="0"/>
        <v>0.20486111111111086</v>
      </c>
      <c r="J61" s="48">
        <v>1.3337801608579114E-2</v>
      </c>
      <c r="K61" s="46">
        <v>5.5599999999999998E-3</v>
      </c>
      <c r="L61" s="46">
        <v>5.5599999999999998E-3</v>
      </c>
      <c r="M61" s="46">
        <v>8.9999999999999993E-3</v>
      </c>
      <c r="N61" s="46">
        <v>8.9999999999999993E-3</v>
      </c>
      <c r="O61" s="48">
        <v>9.3183333333332063E-3</v>
      </c>
      <c r="P61" s="94">
        <v>7.0000000000000001E-3</v>
      </c>
      <c r="Q61" s="46">
        <v>1.5299999999999999E-2</v>
      </c>
      <c r="R61" s="46">
        <v>6.94E-3</v>
      </c>
      <c r="S61" s="46">
        <v>1.0999999999999999E-2</v>
      </c>
      <c r="T61" s="48">
        <v>1.4E-2</v>
      </c>
      <c r="U61" s="48">
        <v>1.4120000000000021E-2</v>
      </c>
      <c r="V61" s="18">
        <v>3.6166666666666847E-3</v>
      </c>
      <c r="W61" s="88">
        <v>3.7499999999999999E-3</v>
      </c>
      <c r="X61" s="51">
        <v>4.0000000000000001E-3</v>
      </c>
      <c r="Y61" s="51">
        <v>2.0799999999999998E-3</v>
      </c>
      <c r="Z61" s="51">
        <v>2.0799999999999998E-3</v>
      </c>
      <c r="AA61" s="51">
        <v>4.0000000000000001E-3</v>
      </c>
      <c r="AB61" s="43">
        <v>3.5000000000000031E-3</v>
      </c>
    </row>
    <row r="62" spans="1:28" x14ac:dyDescent="0.25">
      <c r="A62" s="22">
        <f t="shared" si="0"/>
        <v>0.20833333333333307</v>
      </c>
      <c r="J62" s="48">
        <v>1.3337801608579114E-2</v>
      </c>
      <c r="K62" s="46">
        <v>5.5599999999999998E-3</v>
      </c>
      <c r="L62" s="46">
        <v>5.5599999999999998E-3</v>
      </c>
      <c r="M62" s="46">
        <v>8.9999999999999993E-3</v>
      </c>
      <c r="N62" s="46">
        <v>8.9999999999999993E-3</v>
      </c>
      <c r="O62" s="48">
        <v>9.120000000000017E-3</v>
      </c>
      <c r="P62" s="94">
        <v>7.0000000000000001E-3</v>
      </c>
      <c r="Q62" s="46">
        <v>1.5299999999999999E-2</v>
      </c>
      <c r="R62" s="46">
        <v>6.94E-3</v>
      </c>
      <c r="S62" s="46">
        <v>1.0999999999999999E-2</v>
      </c>
      <c r="T62" s="48">
        <v>1.4E-2</v>
      </c>
      <c r="U62" s="48">
        <v>1.2578333333333358E-2</v>
      </c>
      <c r="V62" s="18">
        <v>3.6999999999999811E-3</v>
      </c>
      <c r="W62" s="88">
        <v>3.7499999999999999E-3</v>
      </c>
      <c r="X62" s="51">
        <v>4.0000000000000001E-3</v>
      </c>
      <c r="Y62" s="51">
        <v>2.0799999999999998E-3</v>
      </c>
      <c r="Z62" s="51">
        <v>2.0799999999999998E-3</v>
      </c>
      <c r="AA62" s="51">
        <v>4.0000000000000001E-3</v>
      </c>
      <c r="AB62" s="43">
        <v>3.5000000000000031E-3</v>
      </c>
    </row>
    <row r="63" spans="1:28" x14ac:dyDescent="0.25">
      <c r="A63" s="22">
        <f t="shared" si="0"/>
        <v>0.21180555555555527</v>
      </c>
      <c r="J63" s="48">
        <v>1.3337801608579114E-2</v>
      </c>
      <c r="K63" s="46">
        <v>5.5599999999999998E-3</v>
      </c>
      <c r="L63" s="46">
        <v>5.5599999999999998E-3</v>
      </c>
      <c r="M63" s="46">
        <v>8.9999999999999993E-3</v>
      </c>
      <c r="N63" s="46">
        <v>8.9999999999999993E-3</v>
      </c>
      <c r="O63" s="48">
        <v>8.8666666666666893E-3</v>
      </c>
      <c r="P63" s="94">
        <v>0.01</v>
      </c>
      <c r="Q63" s="46">
        <v>1.5299999999999999E-2</v>
      </c>
      <c r="R63" s="46">
        <v>6.94E-3</v>
      </c>
      <c r="S63" s="46">
        <v>0.01</v>
      </c>
      <c r="T63" s="48">
        <v>1.0999999999999999E-2</v>
      </c>
      <c r="U63" s="48">
        <v>1.1291666666666589E-2</v>
      </c>
      <c r="V63" s="18">
        <v>3.8333333333333275E-3</v>
      </c>
      <c r="W63" s="88">
        <v>5.0000000000000001E-3</v>
      </c>
      <c r="X63" s="51">
        <v>4.0000000000000001E-3</v>
      </c>
      <c r="Y63" s="51">
        <v>2.0799999999999998E-3</v>
      </c>
      <c r="Z63" s="51">
        <v>2.0799999999999998E-3</v>
      </c>
      <c r="AA63" s="51">
        <v>4.0000000000000001E-3</v>
      </c>
      <c r="AB63" s="43">
        <v>3.5999999999999921E-3</v>
      </c>
    </row>
    <row r="64" spans="1:28" x14ac:dyDescent="0.25">
      <c r="A64" s="22">
        <f t="shared" si="0"/>
        <v>0.21527777777777748</v>
      </c>
      <c r="J64" s="48">
        <v>1.3337801608579114E-2</v>
      </c>
      <c r="K64" s="46">
        <v>3.3300000000000001E-3</v>
      </c>
      <c r="L64" s="46">
        <v>5.5599999999999998E-3</v>
      </c>
      <c r="M64" s="46">
        <v>8.9999999999999993E-3</v>
      </c>
      <c r="N64" s="46">
        <v>8.9999999999999993E-3</v>
      </c>
      <c r="O64" s="48">
        <v>8.6749999999999883E-3</v>
      </c>
      <c r="P64" s="94">
        <v>0.01</v>
      </c>
      <c r="Q64" s="46">
        <v>1.5299999999999999E-2</v>
      </c>
      <c r="R64" s="46">
        <v>6.94E-3</v>
      </c>
      <c r="S64" s="46">
        <v>0.01</v>
      </c>
      <c r="T64" s="48">
        <v>1.0999999999999999E-2</v>
      </c>
      <c r="U64" s="48">
        <v>1.0141666666666715E-2</v>
      </c>
      <c r="V64" s="18">
        <v>3.9166666666666794E-3</v>
      </c>
      <c r="W64" s="88">
        <v>5.0000000000000001E-3</v>
      </c>
      <c r="X64" s="51">
        <v>4.0000000000000001E-3</v>
      </c>
      <c r="Y64" s="51">
        <v>2.0799999999999998E-3</v>
      </c>
      <c r="Z64" s="51">
        <v>2.0799999999999998E-3</v>
      </c>
      <c r="AA64" s="51">
        <v>4.0000000000000001E-3</v>
      </c>
      <c r="AB64" s="43">
        <v>3.6000000000000199E-3</v>
      </c>
    </row>
    <row r="65" spans="1:28" x14ac:dyDescent="0.25">
      <c r="A65" s="22">
        <f t="shared" si="0"/>
        <v>0.21874999999999969</v>
      </c>
      <c r="J65" s="48">
        <v>1.3315460232350307E-2</v>
      </c>
      <c r="K65" s="46">
        <v>2.7799999999999999E-3</v>
      </c>
      <c r="L65" s="46">
        <v>5.5599999999999998E-3</v>
      </c>
      <c r="M65" s="46">
        <v>8.0000000000000002E-3</v>
      </c>
      <c r="N65" s="46">
        <v>8.9999999999999993E-3</v>
      </c>
      <c r="O65" s="48">
        <v>8.5416666666667806E-3</v>
      </c>
      <c r="P65" s="94">
        <v>0.01</v>
      </c>
      <c r="Q65" s="46">
        <v>1.5299999999999999E-2</v>
      </c>
      <c r="R65" s="46">
        <v>6.94E-3</v>
      </c>
      <c r="S65" s="46">
        <v>8.9999999999999993E-3</v>
      </c>
      <c r="T65" s="48">
        <v>1.0999999999999999E-2</v>
      </c>
      <c r="U65" s="48">
        <v>1.0794999999999999E-2</v>
      </c>
      <c r="V65" s="18">
        <v>3.9833333333333387E-3</v>
      </c>
      <c r="W65" s="88">
        <v>5.0000000000000001E-3</v>
      </c>
      <c r="X65" s="51">
        <v>4.0000000000000001E-3</v>
      </c>
      <c r="Y65" s="51">
        <v>2.0799999999999998E-3</v>
      </c>
      <c r="Z65" s="51">
        <v>2.0799999999999998E-3</v>
      </c>
      <c r="AA65" s="51">
        <v>4.0000000000000001E-3</v>
      </c>
      <c r="AB65" s="43">
        <v>3.5999999999999921E-3</v>
      </c>
    </row>
    <row r="66" spans="1:28" x14ac:dyDescent="0.25">
      <c r="A66" s="22">
        <f t="shared" si="0"/>
        <v>0.2222222222222219</v>
      </c>
      <c r="J66" s="48">
        <v>1.3315460232350307E-2</v>
      </c>
      <c r="K66" s="46">
        <v>2.7799999999999999E-3</v>
      </c>
      <c r="L66" s="46">
        <v>5.5599999999999998E-3</v>
      </c>
      <c r="M66" s="46">
        <v>8.0000000000000002E-3</v>
      </c>
      <c r="N66" s="46">
        <v>8.9999999999999993E-3</v>
      </c>
      <c r="O66" s="48">
        <v>8.44833333333328E-3</v>
      </c>
      <c r="P66" s="94">
        <v>0.01</v>
      </c>
      <c r="Q66" s="46">
        <v>1.5299999999999999E-2</v>
      </c>
      <c r="R66" s="46">
        <v>6.94E-3</v>
      </c>
      <c r="S66" s="46">
        <v>8.9999999999999993E-3</v>
      </c>
      <c r="T66" s="48">
        <v>1.0999999999999999E-2</v>
      </c>
      <c r="U66" s="48">
        <v>1.0548333333333271E-2</v>
      </c>
      <c r="V66" s="18">
        <v>4.0499999999999703E-3</v>
      </c>
      <c r="W66" s="88">
        <v>5.0000000000000001E-3</v>
      </c>
      <c r="X66" s="51">
        <v>4.0000000000000001E-3</v>
      </c>
      <c r="Y66" s="51">
        <v>2.0799999999999998E-3</v>
      </c>
      <c r="Z66" s="51">
        <v>2.0799999999999998E-3</v>
      </c>
      <c r="AA66" s="51">
        <v>4.0000000000000001E-3</v>
      </c>
      <c r="AB66" s="43">
        <v>3.5999999999999921E-3</v>
      </c>
    </row>
    <row r="67" spans="1:28" x14ac:dyDescent="0.25">
      <c r="A67" s="22">
        <f t="shared" si="0"/>
        <v>0.22569444444444411</v>
      </c>
      <c r="J67" s="48">
        <v>1.3337801608579114E-2</v>
      </c>
      <c r="K67" s="46">
        <v>2.7799999999999999E-3</v>
      </c>
      <c r="L67" s="46">
        <v>5.0000000000000001E-3</v>
      </c>
      <c r="M67" s="46">
        <v>8.0000000000000002E-3</v>
      </c>
      <c r="N67" s="46">
        <v>8.0000000000000002E-3</v>
      </c>
      <c r="O67" s="48">
        <v>8.3550000000000013E-3</v>
      </c>
      <c r="P67" s="94">
        <v>0.01</v>
      </c>
      <c r="Q67" s="46">
        <v>1.44E-2</v>
      </c>
      <c r="R67" s="46">
        <v>7.2199999999999999E-3</v>
      </c>
      <c r="S67" s="46">
        <v>8.9999999999999993E-3</v>
      </c>
      <c r="T67" s="48">
        <v>0.01</v>
      </c>
      <c r="U67" s="48">
        <v>1.0024999999999951E-2</v>
      </c>
      <c r="V67" s="18">
        <v>4.1166666666666851E-3</v>
      </c>
      <c r="W67" s="88">
        <v>5.0000000000000001E-3</v>
      </c>
      <c r="X67" s="51">
        <v>4.0000000000000001E-3</v>
      </c>
      <c r="Y67" s="51">
        <v>2.0799999999999998E-3</v>
      </c>
      <c r="Z67" s="51">
        <v>2.0799999999999998E-3</v>
      </c>
      <c r="AA67" s="51">
        <v>4.0000000000000001E-3</v>
      </c>
      <c r="AB67" s="43">
        <v>3.6500000000000143E-3</v>
      </c>
    </row>
    <row r="68" spans="1:28" x14ac:dyDescent="0.25">
      <c r="A68" s="22">
        <f t="shared" ref="A68:A131" si="1">A67+TIME(0,5,0)</f>
        <v>0.22916666666666632</v>
      </c>
      <c r="J68" s="48">
        <v>1.3337801608579114E-2</v>
      </c>
      <c r="K68" s="46">
        <v>2.7799999999999999E-3</v>
      </c>
      <c r="L68" s="46">
        <v>2.7799999999999999E-3</v>
      </c>
      <c r="M68" s="46">
        <v>8.0000000000000002E-3</v>
      </c>
      <c r="N68" s="46">
        <v>8.0000000000000002E-3</v>
      </c>
      <c r="O68" s="48">
        <v>8.3166666666666389E-3</v>
      </c>
      <c r="P68" s="94">
        <v>0.01</v>
      </c>
      <c r="Q68" s="46">
        <v>1.11E-2</v>
      </c>
      <c r="R68" s="46">
        <v>8.3300000000000006E-3</v>
      </c>
      <c r="S68" s="46">
        <v>8.9999999999999993E-3</v>
      </c>
      <c r="T68" s="48">
        <v>0.01</v>
      </c>
      <c r="U68" s="48">
        <v>9.5333333333333936E-3</v>
      </c>
      <c r="V68" s="18">
        <v>4.149999999999987E-3</v>
      </c>
      <c r="W68" s="88">
        <v>5.0000000000000001E-3</v>
      </c>
      <c r="X68" s="51">
        <v>4.0000000000000001E-3</v>
      </c>
      <c r="Y68" s="51">
        <v>2.0799999999999998E-3</v>
      </c>
      <c r="Z68" s="51">
        <v>2.0799999999999998E-3</v>
      </c>
      <c r="AA68" s="51">
        <v>4.0000000000000001E-3</v>
      </c>
      <c r="AB68" s="43">
        <v>3.6499999999999866E-3</v>
      </c>
    </row>
    <row r="69" spans="1:28" x14ac:dyDescent="0.25">
      <c r="A69" s="22">
        <f t="shared" si="1"/>
        <v>0.23263888888888853</v>
      </c>
      <c r="J69" s="48">
        <v>1.1639857015192101E-2</v>
      </c>
      <c r="K69" s="46">
        <v>2.7799999999999999E-3</v>
      </c>
      <c r="L69" s="46">
        <v>2.7799999999999999E-3</v>
      </c>
      <c r="M69" s="46">
        <v>8.0000000000000002E-3</v>
      </c>
      <c r="N69" s="46">
        <v>8.0000000000000002E-3</v>
      </c>
      <c r="O69" s="48">
        <v>8.4833333333333982E-3</v>
      </c>
      <c r="P69" s="94">
        <v>0.01</v>
      </c>
      <c r="Q69" s="46">
        <v>1.11E-2</v>
      </c>
      <c r="R69" s="46">
        <v>8.3300000000000006E-3</v>
      </c>
      <c r="S69" s="46">
        <v>8.0000000000000002E-3</v>
      </c>
      <c r="T69" s="48">
        <v>8.9999999999999993E-3</v>
      </c>
      <c r="U69" s="48">
        <v>9.0666666666666673E-3</v>
      </c>
      <c r="V69" s="18">
        <v>4.0833333333333555E-3</v>
      </c>
      <c r="W69" s="88">
        <v>5.0000000000000001E-3</v>
      </c>
      <c r="X69" s="51">
        <v>4.0000000000000001E-3</v>
      </c>
      <c r="Y69" s="51">
        <v>2.0799999999999998E-3</v>
      </c>
      <c r="Z69" s="51">
        <v>2.0799999999999998E-3</v>
      </c>
      <c r="AA69" s="51">
        <v>4.0000000000000001E-3</v>
      </c>
      <c r="AB69" s="43">
        <v>3.7000000000000088E-3</v>
      </c>
    </row>
    <row r="70" spans="1:28" x14ac:dyDescent="0.25">
      <c r="A70" s="22">
        <f t="shared" si="1"/>
        <v>0.23611111111111074</v>
      </c>
      <c r="J70" s="48">
        <v>1.1639857015192212E-2</v>
      </c>
      <c r="K70" s="46">
        <v>2.7799999999999999E-3</v>
      </c>
      <c r="L70" s="46">
        <v>2.7799999999999999E-3</v>
      </c>
      <c r="M70" s="46">
        <v>8.0000000000000002E-3</v>
      </c>
      <c r="N70" s="46">
        <v>8.0000000000000002E-3</v>
      </c>
      <c r="O70" s="48">
        <v>8.3333333333333037E-3</v>
      </c>
      <c r="P70" s="94">
        <v>0.01</v>
      </c>
      <c r="Q70" s="46">
        <v>1.11E-2</v>
      </c>
      <c r="R70" s="46">
        <v>8.3300000000000006E-3</v>
      </c>
      <c r="S70" s="46">
        <v>8.0000000000000002E-3</v>
      </c>
      <c r="T70" s="48">
        <v>8.9999999999999993E-3</v>
      </c>
      <c r="U70" s="48">
        <v>8.5333333333333927E-3</v>
      </c>
      <c r="V70" s="18">
        <v>4.2500000000000038E-3</v>
      </c>
      <c r="W70" s="88">
        <v>5.0000000000000001E-3</v>
      </c>
      <c r="X70" s="51">
        <v>4.0000000000000001E-3</v>
      </c>
      <c r="Y70" s="51">
        <v>2.0799999999999998E-3</v>
      </c>
      <c r="Z70" s="51">
        <v>2.0799999999999998E-3</v>
      </c>
      <c r="AA70" s="51">
        <v>4.0000000000000001E-3</v>
      </c>
      <c r="AB70" s="43">
        <v>3.7000000000000088E-3</v>
      </c>
    </row>
    <row r="71" spans="1:28" x14ac:dyDescent="0.25">
      <c r="A71" s="22">
        <f t="shared" si="1"/>
        <v>0.23958333333333295</v>
      </c>
      <c r="J71" s="48">
        <v>1.1684539767649604E-2</v>
      </c>
      <c r="K71" s="46">
        <v>4.4400000000000004E-3</v>
      </c>
      <c r="L71" s="46">
        <v>4.4400000000000004E-3</v>
      </c>
      <c r="M71" s="46">
        <v>8.0000000000000002E-3</v>
      </c>
      <c r="N71" s="46">
        <v>8.0000000000000002E-3</v>
      </c>
      <c r="O71" s="48">
        <v>8.2133333333332947E-3</v>
      </c>
      <c r="P71" s="94">
        <v>0.01</v>
      </c>
      <c r="Q71" s="46">
        <v>1.11E-2</v>
      </c>
      <c r="R71" s="46">
        <v>8.3300000000000006E-3</v>
      </c>
      <c r="S71" s="46">
        <v>8.0000000000000002E-3</v>
      </c>
      <c r="T71" s="48">
        <v>8.0000000000000002E-3</v>
      </c>
      <c r="U71" s="48">
        <v>8.1466666666666354E-3</v>
      </c>
      <c r="V71" s="18">
        <v>4.3166666666666631E-3</v>
      </c>
      <c r="W71" s="88">
        <v>5.0000000000000001E-3</v>
      </c>
      <c r="X71" s="51">
        <v>4.0000000000000001E-3</v>
      </c>
      <c r="Y71" s="51">
        <v>2.0799999999999998E-3</v>
      </c>
      <c r="Z71" s="51">
        <v>2.0799999999999998E-3</v>
      </c>
      <c r="AA71" s="51">
        <v>4.0000000000000001E-3</v>
      </c>
      <c r="AB71" s="43">
        <v>3.7499999999999756E-3</v>
      </c>
    </row>
    <row r="72" spans="1:28" x14ac:dyDescent="0.25">
      <c r="A72" s="22">
        <f t="shared" si="1"/>
        <v>0.24305555555555516</v>
      </c>
      <c r="J72" s="48">
        <v>1.1684539767649715E-2</v>
      </c>
      <c r="K72" s="46">
        <v>5.5599999999999998E-3</v>
      </c>
      <c r="L72" s="46">
        <v>5.5599999999999998E-3</v>
      </c>
      <c r="M72" s="46">
        <v>8.0000000000000002E-3</v>
      </c>
      <c r="N72" s="46">
        <v>8.0000000000000002E-3</v>
      </c>
      <c r="O72" s="48">
        <v>8.1033333333333513E-3</v>
      </c>
      <c r="P72" s="94">
        <v>0.01</v>
      </c>
      <c r="Q72" s="46">
        <v>1.11E-2</v>
      </c>
      <c r="R72" s="46">
        <v>8.3300000000000006E-3</v>
      </c>
      <c r="S72" s="46">
        <v>8.0000000000000002E-3</v>
      </c>
      <c r="T72" s="48">
        <v>8.0000000000000002E-3</v>
      </c>
      <c r="U72" s="48">
        <v>7.7899999999999636E-3</v>
      </c>
      <c r="V72" s="18">
        <v>4.3833333333333502E-3</v>
      </c>
      <c r="W72" s="88">
        <v>5.0000000000000001E-3</v>
      </c>
      <c r="X72" s="51">
        <v>4.0000000000000001E-3</v>
      </c>
      <c r="Y72" s="51">
        <v>2.0799999999999998E-3</v>
      </c>
      <c r="Z72" s="51">
        <v>2.0799999999999998E-3</v>
      </c>
      <c r="AA72" s="51">
        <v>4.0000000000000001E-3</v>
      </c>
      <c r="AB72" s="43">
        <v>3.7500000000000033E-3</v>
      </c>
    </row>
    <row r="73" spans="1:28" x14ac:dyDescent="0.25">
      <c r="A73" s="22">
        <f t="shared" si="1"/>
        <v>0.24652777777777737</v>
      </c>
      <c r="J73" s="48">
        <v>1.1639857015192101E-2</v>
      </c>
      <c r="K73" s="46">
        <v>5.5599999999999998E-3</v>
      </c>
      <c r="L73" s="46">
        <v>5.5599999999999998E-3</v>
      </c>
      <c r="M73" s="46">
        <v>8.0000000000000002E-3</v>
      </c>
      <c r="N73" s="46">
        <v>8.0000000000000002E-3</v>
      </c>
      <c r="O73" s="48">
        <v>7.9933333333332968E-3</v>
      </c>
      <c r="P73" s="94">
        <v>0.01</v>
      </c>
      <c r="Q73" s="46">
        <v>1.11E-2</v>
      </c>
      <c r="R73" s="46">
        <v>8.3300000000000006E-3</v>
      </c>
      <c r="S73" s="46">
        <v>8.0000000000000002E-3</v>
      </c>
      <c r="T73" s="48">
        <v>7.0000000000000001E-3</v>
      </c>
      <c r="U73" s="48">
        <v>7.4600000000000222E-3</v>
      </c>
      <c r="V73" s="18">
        <v>4.4833333333333114E-3</v>
      </c>
      <c r="W73" s="88">
        <v>5.0000000000000001E-3</v>
      </c>
      <c r="X73" s="51">
        <v>4.0000000000000001E-3</v>
      </c>
      <c r="Y73" s="51">
        <v>2.0799999999999998E-3</v>
      </c>
      <c r="Z73" s="51">
        <v>2.0799999999999998E-3</v>
      </c>
      <c r="AA73" s="51">
        <v>4.0000000000000001E-3</v>
      </c>
      <c r="AB73" s="43">
        <v>3.7999999999999978E-3</v>
      </c>
    </row>
    <row r="74" spans="1:28" ht="15.75" thickBot="1" x14ac:dyDescent="0.3">
      <c r="A74" s="22">
        <f t="shared" si="1"/>
        <v>0.24999999999999958</v>
      </c>
      <c r="J74" s="44">
        <v>1.1639857015192101E-2</v>
      </c>
      <c r="K74" s="40">
        <v>5.5599999999999998E-3</v>
      </c>
      <c r="L74" s="40">
        <v>5.5599999999999998E-3</v>
      </c>
      <c r="M74" s="40">
        <v>8.0000000000000002E-3</v>
      </c>
      <c r="N74" s="40">
        <v>8.0000000000000002E-3</v>
      </c>
      <c r="O74" s="44">
        <v>6.3266666666667026E-3</v>
      </c>
      <c r="P74" s="94">
        <v>0.01</v>
      </c>
      <c r="Q74" s="46">
        <v>1.11E-2</v>
      </c>
      <c r="R74" s="46">
        <v>8.3300000000000006E-3</v>
      </c>
      <c r="S74" s="46">
        <v>8.0000000000000002E-3</v>
      </c>
      <c r="T74" s="48">
        <v>7.0000000000000001E-3</v>
      </c>
      <c r="U74" s="48">
        <v>7.1566666666667E-3</v>
      </c>
      <c r="V74" s="18">
        <v>4.6666666666666523E-3</v>
      </c>
      <c r="W74" s="88">
        <v>5.0000000000000001E-3</v>
      </c>
      <c r="X74" s="51">
        <v>5.0000000000000001E-3</v>
      </c>
      <c r="Y74" s="51">
        <v>2.0799999999999998E-3</v>
      </c>
      <c r="Z74" s="51">
        <v>2.0799999999999998E-3</v>
      </c>
      <c r="AA74" s="51">
        <v>4.0000000000000001E-3</v>
      </c>
      <c r="AB74" s="43">
        <v>3.7999999999999978E-3</v>
      </c>
    </row>
    <row r="75" spans="1:28" x14ac:dyDescent="0.25">
      <c r="A75" s="22">
        <f t="shared" si="1"/>
        <v>0.25347222222222182</v>
      </c>
      <c r="P75" s="46">
        <v>8.0000000000000002E-3</v>
      </c>
      <c r="Q75" s="46">
        <v>8.3300000000000006E-3</v>
      </c>
      <c r="R75" s="46">
        <v>9.7199999999999995E-3</v>
      </c>
      <c r="S75" s="46">
        <v>7.0000000000000001E-3</v>
      </c>
      <c r="T75" s="48">
        <v>7.0000000000000001E-3</v>
      </c>
      <c r="U75" s="48">
        <v>6.8833333333332414E-3</v>
      </c>
      <c r="V75" s="18">
        <v>5.0000000000000044E-3</v>
      </c>
      <c r="W75" s="88">
        <v>7.0000000000000001E-3</v>
      </c>
      <c r="X75" s="51">
        <v>5.0000000000000001E-3</v>
      </c>
      <c r="Y75" s="51">
        <v>2.7799999999999999E-3</v>
      </c>
      <c r="Z75" s="51">
        <v>2.0799999999999998E-3</v>
      </c>
      <c r="AA75" s="51">
        <v>3.0000000000000001E-3</v>
      </c>
      <c r="AB75" s="43">
        <v>3.8499999999999923E-3</v>
      </c>
    </row>
    <row r="76" spans="1:28" x14ac:dyDescent="0.25">
      <c r="A76" s="22">
        <f t="shared" si="1"/>
        <v>0.25694444444444403</v>
      </c>
      <c r="P76" s="46">
        <v>7.0000000000000001E-3</v>
      </c>
      <c r="Q76" s="46">
        <v>8.3300000000000006E-3</v>
      </c>
      <c r="R76" s="46">
        <v>9.7199999999999995E-3</v>
      </c>
      <c r="S76" s="46">
        <v>7.0000000000000001E-3</v>
      </c>
      <c r="T76" s="48">
        <v>7.0000000000000001E-3</v>
      </c>
      <c r="U76" s="48">
        <v>6.5916666666667734E-3</v>
      </c>
      <c r="V76" s="18">
        <v>5.0833333333333286E-3</v>
      </c>
      <c r="W76" s="88">
        <v>7.0000000000000001E-3</v>
      </c>
      <c r="X76" s="51">
        <v>5.0000000000000001E-3</v>
      </c>
      <c r="Y76" s="51">
        <v>2.7799999999999999E-3</v>
      </c>
      <c r="Z76" s="51">
        <v>2.0799999999999998E-3</v>
      </c>
      <c r="AA76" s="51">
        <v>3.0000000000000001E-3</v>
      </c>
      <c r="AB76" s="43">
        <v>3.8500000000000201E-3</v>
      </c>
    </row>
    <row r="77" spans="1:28" x14ac:dyDescent="0.25">
      <c r="A77" s="22">
        <f t="shared" si="1"/>
        <v>0.26041666666666624</v>
      </c>
      <c r="P77" s="46">
        <v>7.0000000000000001E-3</v>
      </c>
      <c r="Q77" s="46">
        <v>8.3300000000000006E-3</v>
      </c>
      <c r="R77" s="46">
        <v>9.7199999999999995E-3</v>
      </c>
      <c r="S77" s="46">
        <v>7.0000000000000001E-3</v>
      </c>
      <c r="T77" s="48">
        <v>7.0000000000000001E-3</v>
      </c>
      <c r="U77" s="48">
        <v>6.7916666666666403E-3</v>
      </c>
      <c r="V77" s="18">
        <v>5.1500000000000157E-3</v>
      </c>
      <c r="W77" s="88">
        <v>7.0000000000000001E-3</v>
      </c>
      <c r="X77" s="51">
        <v>5.0000000000000001E-3</v>
      </c>
      <c r="Y77" s="51">
        <v>2.7799999999999999E-3</v>
      </c>
      <c r="Z77" s="51">
        <v>2.0799999999999998E-3</v>
      </c>
      <c r="AA77" s="51">
        <v>3.0000000000000001E-3</v>
      </c>
      <c r="AB77" s="43">
        <v>3.9000000000000146E-3</v>
      </c>
    </row>
    <row r="78" spans="1:28" x14ac:dyDescent="0.25">
      <c r="A78" s="22">
        <f t="shared" si="1"/>
        <v>0.26388888888888845</v>
      </c>
      <c r="P78" s="46">
        <v>8.0000000000000002E-3</v>
      </c>
      <c r="Q78" s="46">
        <v>8.3300000000000006E-3</v>
      </c>
      <c r="R78" s="46">
        <v>9.7199999999999995E-3</v>
      </c>
      <c r="S78" s="46">
        <v>7.0000000000000001E-3</v>
      </c>
      <c r="T78" s="48">
        <v>7.0000000000000001E-3</v>
      </c>
      <c r="U78" s="48">
        <v>6.7516666666666003E-3</v>
      </c>
      <c r="V78" s="18">
        <v>5.2166666666666472E-3</v>
      </c>
      <c r="W78" s="88">
        <v>7.0000000000000001E-3</v>
      </c>
      <c r="X78" s="51">
        <v>5.0000000000000001E-3</v>
      </c>
      <c r="Y78" s="51">
        <v>2.7799999999999999E-3</v>
      </c>
      <c r="Z78" s="51">
        <v>2.0799999999999998E-3</v>
      </c>
      <c r="AA78" s="51">
        <v>3.0000000000000001E-3</v>
      </c>
      <c r="AB78" s="43">
        <v>3.8999999999999868E-3</v>
      </c>
    </row>
    <row r="79" spans="1:28" x14ac:dyDescent="0.25">
      <c r="A79" s="22">
        <f t="shared" si="1"/>
        <v>0.26736111111111066</v>
      </c>
      <c r="P79" s="46">
        <v>7.0000000000000001E-3</v>
      </c>
      <c r="Q79" s="46">
        <v>8.3300000000000006E-3</v>
      </c>
      <c r="R79" s="46">
        <v>9.7199999999999995E-3</v>
      </c>
      <c r="S79" s="46">
        <v>7.0000000000000001E-3</v>
      </c>
      <c r="T79" s="48">
        <v>7.0000000000000001E-3</v>
      </c>
      <c r="U79" s="48">
        <v>6.6316666666667023E-3</v>
      </c>
      <c r="V79" s="18">
        <v>5.2833333333333343E-3</v>
      </c>
      <c r="W79" s="88">
        <v>7.0000000000000001E-3</v>
      </c>
      <c r="X79" s="51">
        <v>5.0000000000000001E-3</v>
      </c>
      <c r="Y79" s="51">
        <v>2.7799999999999999E-3</v>
      </c>
      <c r="Z79" s="51">
        <v>2.0799999999999998E-3</v>
      </c>
      <c r="AA79" s="51">
        <v>3.0000000000000001E-3</v>
      </c>
      <c r="AB79" s="43">
        <v>3.8999999999999868E-3</v>
      </c>
    </row>
    <row r="80" spans="1:28" x14ac:dyDescent="0.25">
      <c r="A80" s="22">
        <f t="shared" si="1"/>
        <v>0.27083333333333287</v>
      </c>
      <c r="P80" s="46">
        <v>7.0000000000000001E-3</v>
      </c>
      <c r="Q80" s="46">
        <v>8.3300000000000006E-3</v>
      </c>
      <c r="R80" s="46">
        <v>9.7199999999999995E-3</v>
      </c>
      <c r="S80" s="46">
        <v>7.0000000000000001E-3</v>
      </c>
      <c r="T80" s="48">
        <v>7.0000000000000001E-3</v>
      </c>
      <c r="U80" s="48">
        <v>6.5133333333332599E-3</v>
      </c>
      <c r="V80" s="18">
        <v>5.2500000000000047E-3</v>
      </c>
      <c r="W80" s="88">
        <v>7.0000000000000001E-3</v>
      </c>
      <c r="X80" s="51">
        <v>5.0000000000000001E-3</v>
      </c>
      <c r="Y80" s="51">
        <v>2.7799999999999999E-3</v>
      </c>
      <c r="Z80" s="51">
        <v>2.0799999999999998E-3</v>
      </c>
      <c r="AA80" s="51">
        <v>3.0000000000000001E-3</v>
      </c>
      <c r="AB80" s="43">
        <v>3.9000000000000146E-3</v>
      </c>
    </row>
    <row r="81" spans="1:28" x14ac:dyDescent="0.25">
      <c r="A81" s="22">
        <f t="shared" si="1"/>
        <v>0.27430555555555508</v>
      </c>
      <c r="P81" s="46">
        <v>8.0000000000000002E-3</v>
      </c>
      <c r="Q81" s="46">
        <v>8.3300000000000006E-3</v>
      </c>
      <c r="R81" s="46">
        <v>9.7199999999999995E-3</v>
      </c>
      <c r="S81" s="46">
        <v>7.0000000000000001E-3</v>
      </c>
      <c r="T81" s="48">
        <v>6.0000000000000001E-3</v>
      </c>
      <c r="U81" s="48">
        <v>6.4000000000000723E-3</v>
      </c>
      <c r="V81" s="18">
        <v>4.9166666666666803E-3</v>
      </c>
      <c r="W81" s="88">
        <v>7.0000000000000001E-3</v>
      </c>
      <c r="X81" s="51">
        <v>5.0000000000000001E-3</v>
      </c>
      <c r="Y81" s="51">
        <v>2.7799999999999999E-3</v>
      </c>
      <c r="Z81" s="51">
        <v>2.0799999999999998E-3</v>
      </c>
      <c r="AA81" s="51">
        <v>3.0000000000000001E-3</v>
      </c>
      <c r="AB81" s="43">
        <v>3.9500000000000091E-3</v>
      </c>
    </row>
    <row r="82" spans="1:28" x14ac:dyDescent="0.25">
      <c r="A82" s="22">
        <f t="shared" si="1"/>
        <v>0.27777777777777729</v>
      </c>
      <c r="P82" s="46">
        <v>7.0000000000000001E-3</v>
      </c>
      <c r="Q82" s="46">
        <v>7.2199999999999999E-3</v>
      </c>
      <c r="R82" s="46">
        <v>1.5299999999999999E-2</v>
      </c>
      <c r="S82" s="46">
        <v>7.0000000000000001E-3</v>
      </c>
      <c r="T82" s="48">
        <v>6.0000000000000001E-3</v>
      </c>
      <c r="U82" s="48">
        <v>6.2583333333333657E-3</v>
      </c>
      <c r="V82" s="18">
        <v>4.9166666666666525E-3</v>
      </c>
      <c r="W82" s="88">
        <v>7.0000000000000001E-3</v>
      </c>
      <c r="X82" s="51">
        <v>5.0000000000000001E-3</v>
      </c>
      <c r="Y82" s="51">
        <v>2.7799999999999999E-3</v>
      </c>
      <c r="Z82" s="51">
        <v>2.0799999999999998E-3</v>
      </c>
      <c r="AA82" s="51">
        <v>3.0000000000000001E-3</v>
      </c>
      <c r="AB82" s="43">
        <v>3.9499999999999813E-3</v>
      </c>
    </row>
    <row r="83" spans="1:28" x14ac:dyDescent="0.25">
      <c r="A83" s="22">
        <f t="shared" si="1"/>
        <v>0.2812499999999995</v>
      </c>
      <c r="P83" s="46">
        <v>7.0000000000000001E-3</v>
      </c>
      <c r="Q83" s="46">
        <v>6.94E-3</v>
      </c>
      <c r="R83" s="46">
        <v>1.67E-2</v>
      </c>
      <c r="S83" s="46">
        <v>6.0000000000000001E-3</v>
      </c>
      <c r="T83" s="48">
        <v>6.0000000000000001E-3</v>
      </c>
      <c r="U83" s="48">
        <v>6.0783333333332967E-3</v>
      </c>
      <c r="V83" s="18">
        <v>5.0500000000000267E-3</v>
      </c>
      <c r="W83" s="88">
        <v>7.0000000000000001E-3</v>
      </c>
      <c r="X83" s="51">
        <v>5.0000000000000001E-3</v>
      </c>
      <c r="Y83" s="51">
        <v>2.7799999999999999E-3</v>
      </c>
      <c r="Z83" s="51">
        <v>2.0799999999999998E-3</v>
      </c>
      <c r="AA83" s="51">
        <v>3.0000000000000001E-3</v>
      </c>
      <c r="AB83" s="43">
        <v>3.9500000000000091E-3</v>
      </c>
    </row>
    <row r="84" spans="1:28" x14ac:dyDescent="0.25">
      <c r="A84" s="22">
        <f t="shared" si="1"/>
        <v>0.28472222222222171</v>
      </c>
      <c r="P84" s="46">
        <v>8.0000000000000002E-3</v>
      </c>
      <c r="Q84" s="46">
        <v>6.94E-3</v>
      </c>
      <c r="R84" s="46">
        <v>1.67E-2</v>
      </c>
      <c r="S84" s="46">
        <v>6.0000000000000001E-3</v>
      </c>
      <c r="T84" s="48">
        <v>6.0000000000000001E-3</v>
      </c>
      <c r="U84" s="48">
        <v>5.9583333333333988E-3</v>
      </c>
      <c r="V84" s="18">
        <v>5.2333333333333121E-3</v>
      </c>
      <c r="W84" s="88">
        <v>7.0000000000000001E-3</v>
      </c>
      <c r="X84" s="51">
        <v>5.0000000000000001E-3</v>
      </c>
      <c r="Y84" s="51">
        <v>2.7799999999999999E-3</v>
      </c>
      <c r="Z84" s="51">
        <v>2.0799999999999998E-3</v>
      </c>
      <c r="AA84" s="51">
        <v>3.0000000000000001E-3</v>
      </c>
      <c r="AB84" s="43">
        <v>3.9500000000000091E-3</v>
      </c>
    </row>
    <row r="85" spans="1:28" x14ac:dyDescent="0.25">
      <c r="A85" s="22">
        <f t="shared" si="1"/>
        <v>0.28819444444444392</v>
      </c>
      <c r="P85" s="46">
        <v>8.0000000000000002E-3</v>
      </c>
      <c r="Q85" s="46">
        <v>6.94E-3</v>
      </c>
      <c r="R85" s="46">
        <v>1.67E-2</v>
      </c>
      <c r="S85" s="46">
        <v>6.0000000000000001E-3</v>
      </c>
      <c r="T85" s="48">
        <v>6.0000000000000001E-3</v>
      </c>
      <c r="U85" s="48">
        <v>5.8616666666665429E-3</v>
      </c>
      <c r="V85" s="18">
        <v>5.4333333333333456E-3</v>
      </c>
      <c r="W85" s="88">
        <v>7.0000000000000001E-3</v>
      </c>
      <c r="X85" s="51">
        <v>5.0000000000000001E-3</v>
      </c>
      <c r="Y85" s="51">
        <v>2.7799999999999999E-3</v>
      </c>
      <c r="Z85" s="51">
        <v>2.0799999999999998E-3</v>
      </c>
      <c r="AA85" s="51">
        <v>3.0000000000000001E-3</v>
      </c>
      <c r="AB85" s="43">
        <v>3.9999999999999758E-3</v>
      </c>
    </row>
    <row r="86" spans="1:28" x14ac:dyDescent="0.25">
      <c r="A86" s="22">
        <f t="shared" si="1"/>
        <v>0.29166666666666613</v>
      </c>
      <c r="P86" s="46">
        <v>7.0000000000000001E-3</v>
      </c>
      <c r="Q86" s="46">
        <v>6.94E-3</v>
      </c>
      <c r="R86" s="46">
        <v>1.67E-2</v>
      </c>
      <c r="S86" s="46">
        <v>6.0000000000000001E-3</v>
      </c>
      <c r="T86" s="48">
        <v>6.0000000000000001E-3</v>
      </c>
      <c r="U86" s="48">
        <v>5.7766666666666522E-3</v>
      </c>
      <c r="V86" s="18">
        <v>5.6666666666666532E-3</v>
      </c>
      <c r="W86" s="88">
        <v>7.0000000000000001E-3</v>
      </c>
      <c r="X86" s="51">
        <v>6.0000000000000001E-3</v>
      </c>
      <c r="Y86" s="51">
        <v>2.7799999999999999E-3</v>
      </c>
      <c r="Z86" s="51">
        <v>2.0799999999999998E-3</v>
      </c>
      <c r="AA86" s="51">
        <v>3.0000000000000001E-3</v>
      </c>
      <c r="AB86" s="43">
        <v>4.0000000000000036E-3</v>
      </c>
    </row>
    <row r="87" spans="1:28" x14ac:dyDescent="0.25">
      <c r="A87" s="22">
        <f t="shared" si="1"/>
        <v>0.29513888888888834</v>
      </c>
      <c r="P87" s="46">
        <v>7.0000000000000001E-3</v>
      </c>
      <c r="Q87" s="46">
        <v>6.94E-3</v>
      </c>
      <c r="R87" s="46">
        <v>1.67E-2</v>
      </c>
      <c r="S87" s="46">
        <v>6.0000000000000001E-3</v>
      </c>
      <c r="T87" s="48">
        <v>6.0000000000000001E-3</v>
      </c>
      <c r="U87" s="48">
        <v>5.7166666666667032E-3</v>
      </c>
      <c r="V87" s="18">
        <v>6.0000000000000053E-3</v>
      </c>
      <c r="W87" s="88">
        <v>8.7500000000000008E-3</v>
      </c>
      <c r="X87" s="51">
        <v>6.0000000000000001E-3</v>
      </c>
      <c r="Y87" s="51">
        <v>2.7799999999999999E-3</v>
      </c>
      <c r="Z87" s="51">
        <v>2.0799999999999998E-3</v>
      </c>
      <c r="AA87" s="51">
        <v>3.0000000000000001E-3</v>
      </c>
      <c r="AB87" s="43">
        <v>4.0000000000000036E-3</v>
      </c>
    </row>
    <row r="88" spans="1:28" x14ac:dyDescent="0.25">
      <c r="A88" s="22">
        <f t="shared" si="1"/>
        <v>0.29861111111111055</v>
      </c>
      <c r="P88" s="46">
        <v>8.0000000000000002E-3</v>
      </c>
      <c r="Q88" s="46">
        <v>6.94E-3</v>
      </c>
      <c r="R88" s="46">
        <v>1.67E-2</v>
      </c>
      <c r="S88" s="46">
        <v>6.0000000000000001E-3</v>
      </c>
      <c r="T88" s="48">
        <v>6.0000000000000001E-3</v>
      </c>
      <c r="U88" s="48">
        <v>5.6416666666666559E-3</v>
      </c>
      <c r="V88" s="18">
        <v>6.4166666666666261E-3</v>
      </c>
      <c r="W88" s="88">
        <v>8.7500000000000008E-3</v>
      </c>
      <c r="X88" s="51">
        <v>6.0000000000000001E-3</v>
      </c>
      <c r="Y88" s="51">
        <v>2.7799999999999999E-3</v>
      </c>
      <c r="Z88" s="51">
        <v>2.0799999999999998E-3</v>
      </c>
      <c r="AA88" s="51">
        <v>3.0000000000000001E-3</v>
      </c>
      <c r="AB88" s="43">
        <v>4.0000000000000036E-3</v>
      </c>
    </row>
    <row r="89" spans="1:28" x14ac:dyDescent="0.25">
      <c r="A89" s="22">
        <f t="shared" si="1"/>
        <v>0.30208333333333276</v>
      </c>
      <c r="P89" s="46">
        <v>8.0000000000000002E-3</v>
      </c>
      <c r="Q89" s="46">
        <v>6.11E-3</v>
      </c>
      <c r="R89" s="46">
        <v>1.7500000000000002E-2</v>
      </c>
      <c r="S89" s="46">
        <v>6.0000000000000001E-3</v>
      </c>
      <c r="T89" s="48">
        <v>6.0000000000000001E-3</v>
      </c>
      <c r="U89" s="48">
        <v>5.741666666666756E-3</v>
      </c>
      <c r="V89" s="18">
        <v>6.8166666666666931E-3</v>
      </c>
      <c r="W89" s="88">
        <v>8.7500000000000008E-3</v>
      </c>
      <c r="X89" s="51">
        <v>7.0000000000000001E-3</v>
      </c>
      <c r="Y89" s="51">
        <v>2.7799999999999999E-3</v>
      </c>
      <c r="Z89" s="51">
        <v>2.0799999999999998E-3</v>
      </c>
      <c r="AA89" s="51">
        <v>3.0000000000000001E-3</v>
      </c>
      <c r="AB89" s="43">
        <v>4.0999999999999925E-3</v>
      </c>
    </row>
    <row r="90" spans="1:28" x14ac:dyDescent="0.25">
      <c r="A90" s="22">
        <f t="shared" si="1"/>
        <v>0.30555555555555497</v>
      </c>
      <c r="P90" s="46">
        <v>7.0000000000000001E-3</v>
      </c>
      <c r="Q90" s="46">
        <v>5.5599999999999998E-3</v>
      </c>
      <c r="R90" s="46">
        <v>1.8100000000000002E-2</v>
      </c>
      <c r="S90" s="46">
        <v>6.0000000000000001E-3</v>
      </c>
      <c r="T90" s="48">
        <v>6.0000000000000001E-3</v>
      </c>
      <c r="U90" s="48">
        <v>5.7116666666666704E-3</v>
      </c>
      <c r="V90" s="18">
        <v>7.266666666666699E-3</v>
      </c>
      <c r="W90" s="88">
        <v>8.7500000000000008E-3</v>
      </c>
      <c r="X90" s="51">
        <v>7.0000000000000001E-3</v>
      </c>
      <c r="Y90" s="51">
        <v>2.7799999999999999E-3</v>
      </c>
      <c r="Z90" s="51">
        <v>2.0799999999999998E-3</v>
      </c>
      <c r="AA90" s="51">
        <v>3.0000000000000001E-3</v>
      </c>
      <c r="AB90" s="43">
        <v>4.0999999999999925E-3</v>
      </c>
    </row>
    <row r="91" spans="1:28" x14ac:dyDescent="0.25">
      <c r="A91" s="22">
        <f t="shared" si="1"/>
        <v>0.30902777777777718</v>
      </c>
      <c r="P91" s="46">
        <v>7.0000000000000001E-3</v>
      </c>
      <c r="Q91" s="46">
        <v>5.5599999999999998E-3</v>
      </c>
      <c r="R91" s="46">
        <v>1.8100000000000002E-2</v>
      </c>
      <c r="S91" s="46">
        <v>6.0000000000000001E-3</v>
      </c>
      <c r="T91" s="48">
        <v>6.0000000000000001E-3</v>
      </c>
      <c r="U91" s="48">
        <v>5.6349999999999456E-3</v>
      </c>
      <c r="V91" s="18">
        <v>7.766666666666644E-3</v>
      </c>
      <c r="W91" s="88">
        <v>8.7500000000000008E-3</v>
      </c>
      <c r="X91" s="51">
        <v>8.0000000000000002E-3</v>
      </c>
      <c r="Y91" s="51">
        <v>2.7799999999999999E-3</v>
      </c>
      <c r="Z91" s="51">
        <v>2.0799999999999998E-3</v>
      </c>
      <c r="AA91" s="51">
        <v>3.0000000000000001E-3</v>
      </c>
      <c r="AB91" s="43">
        <v>4.200000000000037E-3</v>
      </c>
    </row>
    <row r="92" spans="1:28" x14ac:dyDescent="0.25">
      <c r="A92" s="22">
        <f t="shared" si="1"/>
        <v>0.31249999999999939</v>
      </c>
      <c r="P92" s="46">
        <v>8.0000000000000002E-3</v>
      </c>
      <c r="Q92" s="46">
        <v>5.5599999999999998E-3</v>
      </c>
      <c r="R92" s="46">
        <v>1.8100000000000002E-2</v>
      </c>
      <c r="S92" s="46">
        <v>6.0000000000000001E-3</v>
      </c>
      <c r="T92" s="48">
        <v>6.0000000000000001E-3</v>
      </c>
      <c r="U92" s="48">
        <v>5.5566666666666542E-3</v>
      </c>
      <c r="V92" s="18">
        <v>1.0099999999999998E-2</v>
      </c>
      <c r="W92" s="88">
        <v>8.7500000000000008E-3</v>
      </c>
      <c r="X92" s="51">
        <v>0.01</v>
      </c>
      <c r="Y92" s="51">
        <v>2.7799999999999999E-3</v>
      </c>
      <c r="Z92" s="51">
        <v>2.0799999999999998E-3</v>
      </c>
      <c r="AA92" s="51">
        <v>3.0000000000000001E-3</v>
      </c>
      <c r="AB92" s="43">
        <v>4.1999999999999815E-3</v>
      </c>
    </row>
    <row r="93" spans="1:28" x14ac:dyDescent="0.25">
      <c r="A93" s="22">
        <f t="shared" si="1"/>
        <v>0.3159722222222216</v>
      </c>
      <c r="P93" s="46">
        <v>8.0000000000000002E-3</v>
      </c>
      <c r="Q93" s="46">
        <v>5.5599999999999998E-3</v>
      </c>
      <c r="R93" s="46">
        <v>1.8100000000000002E-2</v>
      </c>
      <c r="S93" s="46">
        <v>6.0000000000000001E-3</v>
      </c>
      <c r="T93" s="48">
        <v>5.0000000000000001E-3</v>
      </c>
      <c r="U93" s="48">
        <v>5.4833333333333956E-3</v>
      </c>
      <c r="V93" s="18">
        <v>1.7833333333333312E-2</v>
      </c>
      <c r="W93" s="88">
        <v>8.7500000000000008E-3</v>
      </c>
      <c r="X93" s="51">
        <v>1.7999999999999999E-2</v>
      </c>
      <c r="Y93" s="51">
        <v>2.7799999999999999E-3</v>
      </c>
      <c r="Z93" s="51">
        <v>2.0799999999999998E-3</v>
      </c>
      <c r="AA93" s="51">
        <v>3.0000000000000001E-3</v>
      </c>
      <c r="AB93" s="43">
        <v>4.3999999999999595E-3</v>
      </c>
    </row>
    <row r="94" spans="1:28" x14ac:dyDescent="0.25">
      <c r="A94" s="22">
        <f t="shared" si="1"/>
        <v>0.31944444444444381</v>
      </c>
      <c r="P94" s="46">
        <v>7.0000000000000001E-3</v>
      </c>
      <c r="Q94" s="46">
        <v>5.5599999999999998E-3</v>
      </c>
      <c r="R94" s="46">
        <v>1.8100000000000002E-2</v>
      </c>
      <c r="S94" s="46">
        <v>6.0000000000000001E-3</v>
      </c>
      <c r="T94" s="48">
        <v>5.0000000000000001E-3</v>
      </c>
      <c r="U94" s="48">
        <v>5.3833333333332956E-3</v>
      </c>
      <c r="V94" s="18">
        <v>1.9416666666666693E-2</v>
      </c>
      <c r="W94" s="88">
        <v>8.7500000000000008E-3</v>
      </c>
      <c r="X94" s="51">
        <v>1.9E-2</v>
      </c>
      <c r="Y94" s="51">
        <v>2.7799999999999999E-3</v>
      </c>
      <c r="Z94" s="51">
        <v>2.0799999999999998E-3</v>
      </c>
      <c r="AA94" s="51">
        <v>3.0000000000000001E-3</v>
      </c>
      <c r="AB94" s="43">
        <v>4.400000000000015E-3</v>
      </c>
    </row>
    <row r="95" spans="1:28" x14ac:dyDescent="0.25">
      <c r="A95" s="22">
        <f t="shared" si="1"/>
        <v>0.32291666666666602</v>
      </c>
      <c r="P95" s="46">
        <v>7.0000000000000001E-3</v>
      </c>
      <c r="Q95" s="46">
        <v>5.5599999999999998E-3</v>
      </c>
      <c r="R95" s="46">
        <v>1.8100000000000002E-2</v>
      </c>
      <c r="S95" s="46">
        <v>5.0000000000000001E-3</v>
      </c>
      <c r="T95" s="48">
        <v>5.0000000000000001E-3</v>
      </c>
      <c r="U95" s="48">
        <v>5.3033333333333266E-3</v>
      </c>
      <c r="V95" s="18">
        <v>1.9950000000000023E-2</v>
      </c>
      <c r="W95" s="88">
        <v>8.7500000000000008E-3</v>
      </c>
      <c r="X95" s="51">
        <v>0.02</v>
      </c>
      <c r="Y95" s="51">
        <v>2.7799999999999999E-3</v>
      </c>
      <c r="Z95" s="51">
        <v>2.0799999999999998E-3</v>
      </c>
      <c r="AA95" s="51">
        <v>3.0000000000000001E-3</v>
      </c>
      <c r="AB95" s="43">
        <v>4.6499999999999875E-3</v>
      </c>
    </row>
    <row r="96" spans="1:28" x14ac:dyDescent="0.25">
      <c r="A96" s="22">
        <f t="shared" si="1"/>
        <v>0.32638888888888823</v>
      </c>
      <c r="P96" s="46">
        <v>8.0000000000000002E-3</v>
      </c>
      <c r="Q96" s="46">
        <v>5.0000000000000001E-3</v>
      </c>
      <c r="R96" s="46">
        <v>1.5800000000000002E-2</v>
      </c>
      <c r="S96" s="46">
        <v>5.0000000000000001E-3</v>
      </c>
      <c r="T96" s="48">
        <v>5.0000000000000001E-3</v>
      </c>
      <c r="U96" s="48">
        <v>5.2233333333333576E-3</v>
      </c>
      <c r="V96" s="18">
        <v>1.9933333333333358E-2</v>
      </c>
      <c r="W96" s="88">
        <v>8.7500000000000008E-3</v>
      </c>
      <c r="X96" s="51">
        <v>0.02</v>
      </c>
      <c r="Y96" s="51">
        <v>2.7799999999999999E-3</v>
      </c>
      <c r="Z96" s="51">
        <v>2.0799999999999998E-3</v>
      </c>
      <c r="AA96" s="51">
        <v>3.0000000000000001E-3</v>
      </c>
      <c r="AB96" s="43">
        <v>4.650000000000043E-3</v>
      </c>
    </row>
    <row r="97" spans="1:28" x14ac:dyDescent="0.25">
      <c r="A97" s="22">
        <f t="shared" si="1"/>
        <v>0.32986111111111044</v>
      </c>
      <c r="P97" s="46">
        <v>8.0000000000000002E-3</v>
      </c>
      <c r="Q97" s="46">
        <v>4.1700000000000001E-3</v>
      </c>
      <c r="R97" s="46">
        <v>1.2500000000000001E-2</v>
      </c>
      <c r="S97" s="46">
        <v>5.0000000000000001E-3</v>
      </c>
      <c r="T97" s="48">
        <v>5.0000000000000001E-3</v>
      </c>
      <c r="U97" s="48">
        <v>5.1466666666666328E-3</v>
      </c>
      <c r="V97" s="18">
        <v>1.9366666666666643E-2</v>
      </c>
      <c r="W97" s="88">
        <v>8.7500000000000008E-3</v>
      </c>
      <c r="X97" s="51">
        <v>1.9E-2</v>
      </c>
      <c r="Y97" s="51">
        <v>2.7799999999999999E-3</v>
      </c>
      <c r="Z97" s="51">
        <v>2.0799999999999998E-3</v>
      </c>
      <c r="AA97" s="51">
        <v>3.0000000000000001E-3</v>
      </c>
      <c r="AB97" s="43">
        <v>4.9500000000000099E-3</v>
      </c>
    </row>
    <row r="98" spans="1:28" x14ac:dyDescent="0.25">
      <c r="A98" s="22">
        <f t="shared" si="1"/>
        <v>0.33333333333333265</v>
      </c>
      <c r="P98" s="46">
        <v>7.0000000000000001E-3</v>
      </c>
      <c r="Q98" s="46">
        <v>4.1700000000000001E-3</v>
      </c>
      <c r="R98" s="46">
        <v>1.2500000000000001E-2</v>
      </c>
      <c r="S98" s="46">
        <v>5.0000000000000001E-3</v>
      </c>
      <c r="T98" s="48">
        <v>5.0000000000000001E-3</v>
      </c>
      <c r="U98" s="48">
        <v>5.0733333333333741E-3</v>
      </c>
      <c r="V98" s="18">
        <v>1.7333333333333312E-2</v>
      </c>
      <c r="W98" s="88">
        <v>8.7500000000000008E-3</v>
      </c>
      <c r="X98" s="51">
        <v>1.7000000000000001E-2</v>
      </c>
      <c r="Y98" s="51">
        <v>2.7799999999999999E-3</v>
      </c>
      <c r="Z98" s="51">
        <v>2.0799999999999998E-3</v>
      </c>
      <c r="AA98" s="51">
        <v>3.0000000000000001E-3</v>
      </c>
      <c r="AB98" s="43">
        <v>4.9500000000000099E-3</v>
      </c>
    </row>
    <row r="99" spans="1:28" x14ac:dyDescent="0.25">
      <c r="A99" s="22">
        <f t="shared" si="1"/>
        <v>0.33680555555555486</v>
      </c>
      <c r="P99" s="46">
        <v>7.0000000000000001E-3</v>
      </c>
      <c r="Q99" s="46">
        <v>4.1700000000000001E-3</v>
      </c>
      <c r="R99" s="46">
        <v>1.2500000000000001E-2</v>
      </c>
      <c r="S99" s="46">
        <v>5.0000000000000001E-3</v>
      </c>
      <c r="T99" s="48">
        <v>5.0000000000000001E-3</v>
      </c>
      <c r="U99" s="48">
        <v>5.0000000000000044E-3</v>
      </c>
      <c r="V99" s="18">
        <v>1.2000000000000011E-2</v>
      </c>
      <c r="W99" s="88">
        <v>6.7499999999999999E-3</v>
      </c>
      <c r="X99" s="51">
        <v>1.2E-2</v>
      </c>
      <c r="Y99" s="51">
        <v>2.7799999999999999E-3</v>
      </c>
      <c r="Z99" s="51">
        <v>2.0799999999999998E-3</v>
      </c>
      <c r="AA99" s="51">
        <v>3.0000000000000001E-3</v>
      </c>
      <c r="AB99" s="43">
        <v>5.0999999999999934E-3</v>
      </c>
    </row>
    <row r="100" spans="1:28" x14ac:dyDescent="0.25">
      <c r="A100" s="22">
        <f t="shared" si="1"/>
        <v>0.34027777777777707</v>
      </c>
      <c r="P100" s="46">
        <v>8.0000000000000002E-3</v>
      </c>
      <c r="Q100" s="46">
        <v>4.1700000000000001E-3</v>
      </c>
      <c r="R100" s="46">
        <v>1.2500000000000001E-2</v>
      </c>
      <c r="S100" s="46">
        <v>5.0000000000000001E-3</v>
      </c>
      <c r="T100" s="48">
        <v>5.0000000000000001E-3</v>
      </c>
      <c r="U100" s="48">
        <v>4.8916666666666275E-3</v>
      </c>
      <c r="V100" s="18">
        <v>1.0249999999999981E-2</v>
      </c>
      <c r="W100" s="88">
        <v>6.7499999999999999E-3</v>
      </c>
      <c r="X100" s="51">
        <v>0.01</v>
      </c>
      <c r="Y100" s="51">
        <v>2.7799999999999999E-3</v>
      </c>
      <c r="Z100" s="51">
        <v>2.0799999999999998E-3</v>
      </c>
      <c r="AA100" s="51">
        <v>3.0000000000000001E-3</v>
      </c>
      <c r="AB100" s="43">
        <v>5.0999999999999934E-3</v>
      </c>
    </row>
    <row r="101" spans="1:28" x14ac:dyDescent="0.25">
      <c r="A101" s="22">
        <f t="shared" si="1"/>
        <v>0.34374999999999928</v>
      </c>
      <c r="P101" s="46">
        <v>8.0000000000000002E-3</v>
      </c>
      <c r="Q101" s="46">
        <v>4.1700000000000001E-3</v>
      </c>
      <c r="R101" s="46">
        <v>1.2500000000000001E-2</v>
      </c>
      <c r="S101" s="46">
        <v>5.0000000000000001E-3</v>
      </c>
      <c r="T101" s="48">
        <v>5.0000000000000001E-3</v>
      </c>
      <c r="U101" s="48">
        <v>4.7516666666665985E-3</v>
      </c>
      <c r="V101" s="18">
        <v>9.1166666666666618E-3</v>
      </c>
      <c r="W101" s="88">
        <v>6.7499999999999999E-3</v>
      </c>
      <c r="X101" s="51">
        <v>8.9999999999999993E-3</v>
      </c>
      <c r="Y101" s="51">
        <v>2.7799999999999999E-3</v>
      </c>
      <c r="Z101" s="51">
        <v>2.0799999999999998E-3</v>
      </c>
      <c r="AA101" s="51">
        <v>3.0000000000000001E-3</v>
      </c>
      <c r="AB101" s="43">
        <v>5.1999999999999824E-3</v>
      </c>
    </row>
    <row r="102" spans="1:28" x14ac:dyDescent="0.25">
      <c r="A102" s="22">
        <f t="shared" si="1"/>
        <v>0.34722222222222149</v>
      </c>
      <c r="P102" s="46">
        <v>7.0000000000000001E-3</v>
      </c>
      <c r="Q102" s="46">
        <v>4.1700000000000001E-3</v>
      </c>
      <c r="R102" s="46">
        <v>1.2500000000000001E-2</v>
      </c>
      <c r="S102" s="46">
        <v>5.0000000000000001E-3</v>
      </c>
      <c r="T102" s="48">
        <v>5.0000000000000001E-3</v>
      </c>
      <c r="U102" s="48">
        <v>4.6716666666667406E-3</v>
      </c>
      <c r="V102" s="18">
        <v>8.1833333333333202E-3</v>
      </c>
      <c r="W102" s="88">
        <v>6.7499999999999999E-3</v>
      </c>
      <c r="X102" s="51">
        <v>8.0000000000000002E-3</v>
      </c>
      <c r="Y102" s="51">
        <v>2.7799999999999999E-3</v>
      </c>
      <c r="Z102" s="51">
        <v>2.0799999999999998E-3</v>
      </c>
      <c r="AA102" s="51">
        <v>3.0000000000000001E-3</v>
      </c>
      <c r="AB102" s="43">
        <v>5.1999999999999824E-3</v>
      </c>
    </row>
    <row r="103" spans="1:28" x14ac:dyDescent="0.25">
      <c r="A103" s="22">
        <f t="shared" si="1"/>
        <v>0.3506944444444437</v>
      </c>
      <c r="P103" s="46">
        <v>7.0000000000000001E-3</v>
      </c>
      <c r="Q103" s="46">
        <v>4.1700000000000001E-3</v>
      </c>
      <c r="R103" s="46">
        <v>1.17E-2</v>
      </c>
      <c r="S103" s="46">
        <v>5.0000000000000001E-3</v>
      </c>
      <c r="T103" s="48">
        <v>5.0000000000000001E-3</v>
      </c>
      <c r="U103" s="48">
        <v>4.6249999999999902E-3</v>
      </c>
      <c r="V103" s="18">
        <v>7.4500000000000122E-3</v>
      </c>
      <c r="W103" s="88">
        <v>6.7499999999999999E-3</v>
      </c>
      <c r="X103" s="51">
        <v>7.0000000000000001E-3</v>
      </c>
      <c r="Y103" s="51">
        <v>2.7799999999999999E-3</v>
      </c>
      <c r="Z103" s="51">
        <v>2.0799999999999998E-3</v>
      </c>
      <c r="AA103" s="51">
        <v>3.0000000000000001E-3</v>
      </c>
      <c r="AB103" s="43">
        <v>5.3500000000000214E-3</v>
      </c>
    </row>
    <row r="104" spans="1:28" x14ac:dyDescent="0.25">
      <c r="A104" s="22">
        <f t="shared" si="1"/>
        <v>0.35416666666666591</v>
      </c>
      <c r="P104" s="46">
        <v>8.0000000000000002E-3</v>
      </c>
      <c r="Q104" s="46">
        <v>4.1700000000000001E-3</v>
      </c>
      <c r="R104" s="46">
        <v>8.3300000000000006E-3</v>
      </c>
      <c r="S104" s="46">
        <v>5.0000000000000001E-3</v>
      </c>
      <c r="T104" s="48">
        <v>5.0000000000000001E-3</v>
      </c>
      <c r="U104" s="48">
        <v>4.5883333333333054E-3</v>
      </c>
      <c r="V104" s="18">
        <v>7.0999999999999952E-3</v>
      </c>
      <c r="W104" s="88">
        <v>6.7499999999999999E-3</v>
      </c>
      <c r="X104" s="51">
        <v>7.0000000000000001E-3</v>
      </c>
      <c r="Y104" s="51">
        <v>2.7799999999999999E-3</v>
      </c>
      <c r="Z104" s="51">
        <v>2.0799999999999998E-3</v>
      </c>
      <c r="AA104" s="51">
        <v>3.0000000000000001E-3</v>
      </c>
      <c r="AB104" s="43">
        <v>5.3500000000000214E-3</v>
      </c>
    </row>
    <row r="105" spans="1:28" x14ac:dyDescent="0.25">
      <c r="A105" s="22">
        <f t="shared" si="1"/>
        <v>0.35763888888888812</v>
      </c>
      <c r="P105" s="46">
        <v>7.0000000000000001E-3</v>
      </c>
      <c r="Q105" s="46">
        <v>4.1700000000000001E-3</v>
      </c>
      <c r="R105" s="46">
        <v>8.3300000000000006E-3</v>
      </c>
      <c r="S105" s="46">
        <v>5.0000000000000001E-3</v>
      </c>
      <c r="T105" s="48">
        <v>5.0000000000000001E-3</v>
      </c>
      <c r="U105" s="48">
        <v>4.5416666666666661E-3</v>
      </c>
      <c r="V105" s="18">
        <v>7.5000000000000067E-3</v>
      </c>
      <c r="W105" s="88">
        <v>6.7499999999999999E-3</v>
      </c>
      <c r="X105" s="51">
        <v>8.0000000000000002E-3</v>
      </c>
      <c r="Y105" s="51">
        <v>2.7799999999999999E-3</v>
      </c>
      <c r="Z105" s="51">
        <v>2.0799999999999998E-3</v>
      </c>
      <c r="AA105" s="51">
        <v>3.0000000000000001E-3</v>
      </c>
      <c r="AB105" s="43">
        <v>5.6999999999999829E-3</v>
      </c>
    </row>
    <row r="106" spans="1:28" x14ac:dyDescent="0.25">
      <c r="A106" s="22">
        <f t="shared" si="1"/>
        <v>0.36111111111111033</v>
      </c>
      <c r="P106" s="46">
        <v>7.0000000000000001E-3</v>
      </c>
      <c r="Q106" s="46">
        <v>4.1700000000000001E-3</v>
      </c>
      <c r="R106" s="46">
        <v>8.3300000000000006E-3</v>
      </c>
      <c r="S106" s="46">
        <v>5.0000000000000001E-3</v>
      </c>
      <c r="T106" s="48">
        <v>5.0000000000000001E-3</v>
      </c>
      <c r="U106" s="48">
        <v>4.5333333333333892E-3</v>
      </c>
      <c r="V106" s="18">
        <v>7.0833333333333304E-3</v>
      </c>
      <c r="W106" s="88">
        <v>6.7499999999999999E-3</v>
      </c>
      <c r="X106" s="51">
        <v>7.0000000000000001E-3</v>
      </c>
      <c r="Y106" s="51">
        <v>2.7799999999999999E-3</v>
      </c>
      <c r="Z106" s="51">
        <v>2.0799999999999998E-3</v>
      </c>
      <c r="AA106" s="51">
        <v>3.0000000000000001E-3</v>
      </c>
      <c r="AB106" s="43">
        <v>5.6999999999999829E-3</v>
      </c>
    </row>
    <row r="107" spans="1:28" x14ac:dyDescent="0.25">
      <c r="A107" s="22">
        <f t="shared" si="1"/>
        <v>0.36458333333333254</v>
      </c>
      <c r="P107" s="46">
        <v>8.0000000000000002E-3</v>
      </c>
      <c r="Q107" s="46">
        <v>4.1700000000000001E-3</v>
      </c>
      <c r="R107" s="46">
        <v>8.3300000000000006E-3</v>
      </c>
      <c r="S107" s="46">
        <v>5.0000000000000001E-3</v>
      </c>
      <c r="T107" s="48">
        <v>5.0000000000000001E-3</v>
      </c>
      <c r="U107" s="48">
        <v>4.5266666666666788E-3</v>
      </c>
      <c r="V107" s="18">
        <v>6.7499999999999227E-3</v>
      </c>
      <c r="W107" s="88">
        <v>6.7499999999999999E-3</v>
      </c>
      <c r="X107" s="51">
        <v>7.0000000000000001E-3</v>
      </c>
      <c r="Y107" s="51">
        <v>2.7799999999999999E-3</v>
      </c>
      <c r="Z107" s="51">
        <v>2.0799999999999998E-3</v>
      </c>
      <c r="AA107" s="51">
        <v>3.0000000000000001E-3</v>
      </c>
      <c r="AB107" s="43">
        <v>6.3499999999999668E-3</v>
      </c>
    </row>
    <row r="108" spans="1:28" x14ac:dyDescent="0.25">
      <c r="A108" s="22">
        <f t="shared" si="1"/>
        <v>0.36805555555555475</v>
      </c>
      <c r="P108" s="46">
        <v>7.0000000000000001E-3</v>
      </c>
      <c r="Q108" s="46">
        <v>4.1700000000000001E-3</v>
      </c>
      <c r="R108" s="46">
        <v>8.3300000000000006E-3</v>
      </c>
      <c r="S108" s="46">
        <v>5.0000000000000001E-3</v>
      </c>
      <c r="T108" s="48">
        <v>5.0000000000000001E-3</v>
      </c>
      <c r="U108" s="48">
        <v>4.5349999999999557E-3</v>
      </c>
      <c r="V108" s="18">
        <v>6.4166666666667371E-3</v>
      </c>
      <c r="W108" s="88">
        <v>6.7499999999999999E-3</v>
      </c>
      <c r="X108" s="51">
        <v>6.0000000000000001E-3</v>
      </c>
      <c r="Y108" s="51">
        <v>2.7799999999999999E-3</v>
      </c>
      <c r="Z108" s="51">
        <v>2.0799999999999998E-3</v>
      </c>
      <c r="AA108" s="51">
        <v>3.0000000000000001E-3</v>
      </c>
      <c r="AB108" s="43">
        <v>6.3500000000000223E-3</v>
      </c>
    </row>
    <row r="109" spans="1:28" x14ac:dyDescent="0.25">
      <c r="A109" s="22">
        <f t="shared" si="1"/>
        <v>0.37152777777777696</v>
      </c>
      <c r="P109" s="46">
        <v>7.0000000000000001E-3</v>
      </c>
      <c r="Q109" s="46">
        <v>4.1700000000000001E-3</v>
      </c>
      <c r="R109" s="46">
        <v>8.3300000000000006E-3</v>
      </c>
      <c r="S109" s="46">
        <v>5.0000000000000001E-3</v>
      </c>
      <c r="T109" s="48">
        <v>5.0000000000000001E-3</v>
      </c>
      <c r="U109" s="48">
        <v>4.5650000000000412E-3</v>
      </c>
      <c r="V109" s="18">
        <v>6.0833333333333295E-3</v>
      </c>
      <c r="W109" s="88">
        <v>6.7499999999999999E-3</v>
      </c>
      <c r="X109" s="51">
        <v>6.0000000000000001E-3</v>
      </c>
      <c r="Y109" s="51">
        <v>2.7799999999999999E-3</v>
      </c>
      <c r="Z109" s="51">
        <v>2.0799999999999998E-3</v>
      </c>
      <c r="AA109" s="51">
        <v>3.0000000000000001E-3</v>
      </c>
      <c r="AB109" s="43">
        <v>7.1000000000000507E-3</v>
      </c>
    </row>
    <row r="110" spans="1:28" x14ac:dyDescent="0.25">
      <c r="A110" s="22">
        <f t="shared" si="1"/>
        <v>0.37499999999999917</v>
      </c>
      <c r="P110" s="46">
        <v>8.0000000000000002E-3</v>
      </c>
      <c r="Q110" s="46">
        <v>4.1700000000000001E-3</v>
      </c>
      <c r="R110" s="46">
        <v>8.3300000000000006E-3</v>
      </c>
      <c r="S110" s="46">
        <v>5.0000000000000001E-3</v>
      </c>
      <c r="T110" s="48">
        <v>5.0000000000000001E-3</v>
      </c>
      <c r="U110" s="48">
        <v>4.6083333333333254E-3</v>
      </c>
      <c r="V110" s="18">
        <v>5.7666666666666977E-3</v>
      </c>
      <c r="W110" s="88">
        <v>6.7499999999999999E-3</v>
      </c>
      <c r="X110" s="51">
        <v>6.0000000000000001E-3</v>
      </c>
      <c r="Y110" s="51">
        <v>2.7799999999999999E-3</v>
      </c>
      <c r="Z110" s="51">
        <v>2.0799999999999998E-3</v>
      </c>
      <c r="AA110" s="51">
        <v>3.0000000000000001E-3</v>
      </c>
      <c r="AB110" s="43">
        <v>7.0999999999999952E-3</v>
      </c>
    </row>
    <row r="111" spans="1:28" x14ac:dyDescent="0.25">
      <c r="A111" s="22">
        <f t="shared" si="1"/>
        <v>0.37847222222222138</v>
      </c>
      <c r="P111" s="46">
        <v>7.0000000000000001E-3</v>
      </c>
      <c r="Q111" s="46">
        <v>2.7799999999999999E-3</v>
      </c>
      <c r="R111" s="46">
        <v>5.5599999999999998E-3</v>
      </c>
      <c r="S111" s="46">
        <v>5.0000000000000001E-3</v>
      </c>
      <c r="T111" s="48">
        <v>5.0000000000000001E-3</v>
      </c>
      <c r="U111" s="48">
        <v>4.6416666666666551E-3</v>
      </c>
      <c r="V111" s="18">
        <v>5.4999999999999494E-3</v>
      </c>
      <c r="W111" s="88">
        <v>5.4999999999999997E-3</v>
      </c>
      <c r="X111" s="51">
        <v>5.0000000000000001E-3</v>
      </c>
      <c r="Y111" s="51">
        <v>2.7799999999999999E-3</v>
      </c>
      <c r="Z111" s="51">
        <v>2.0799999999999998E-3</v>
      </c>
      <c r="AA111" s="51">
        <v>3.0000000000000001E-3</v>
      </c>
      <c r="AB111" s="43">
        <v>1.100000000000001E-2</v>
      </c>
    </row>
    <row r="112" spans="1:28" x14ac:dyDescent="0.25">
      <c r="A112" s="22">
        <f t="shared" si="1"/>
        <v>0.38194444444444359</v>
      </c>
      <c r="P112" s="46">
        <v>7.0000000000000001E-3</v>
      </c>
      <c r="Q112" s="46">
        <v>2.7799999999999999E-3</v>
      </c>
      <c r="R112" s="46">
        <v>5.5599999999999998E-3</v>
      </c>
      <c r="S112" s="46">
        <v>5.0000000000000001E-3</v>
      </c>
      <c r="T112" s="48">
        <v>5.0000000000000001E-3</v>
      </c>
      <c r="U112" s="48">
        <v>4.7249999999999792E-3</v>
      </c>
      <c r="V112" s="18">
        <v>5.2500000000000879E-3</v>
      </c>
      <c r="W112" s="88">
        <v>5.4999999999999997E-3</v>
      </c>
      <c r="X112" s="51">
        <v>5.0000000000000001E-3</v>
      </c>
      <c r="Y112" s="51">
        <v>2.7799999999999999E-3</v>
      </c>
      <c r="Z112" s="51">
        <v>2.0799999999999998E-3</v>
      </c>
      <c r="AA112" s="51">
        <v>3.0000000000000001E-3</v>
      </c>
      <c r="AB112" s="43">
        <v>1.0999999999999954E-2</v>
      </c>
    </row>
    <row r="113" spans="1:28" x14ac:dyDescent="0.25">
      <c r="A113" s="22">
        <f t="shared" si="1"/>
        <v>0.3854166666666658</v>
      </c>
      <c r="P113" s="46">
        <v>7.0000000000000001E-3</v>
      </c>
      <c r="Q113" s="46">
        <v>2.7799999999999999E-3</v>
      </c>
      <c r="R113" s="46">
        <v>5.5599999999999998E-3</v>
      </c>
      <c r="S113" s="46">
        <v>5.0000000000000001E-3</v>
      </c>
      <c r="T113" s="48">
        <v>4.0000000000000001E-3</v>
      </c>
      <c r="U113" s="48">
        <v>4.4849999999999612E-3</v>
      </c>
      <c r="V113" s="18">
        <v>5.0499999999999989E-3</v>
      </c>
      <c r="W113" s="88">
        <v>5.4999999999999997E-3</v>
      </c>
      <c r="X113" s="51">
        <v>5.0000000000000001E-3</v>
      </c>
      <c r="Y113" s="51">
        <v>2.7799999999999999E-3</v>
      </c>
      <c r="Z113" s="51">
        <v>2.0799999999999998E-3</v>
      </c>
      <c r="AA113" s="51">
        <v>3.0000000000000001E-3</v>
      </c>
      <c r="AB113" s="43">
        <v>1.4500000000000013E-2</v>
      </c>
    </row>
    <row r="114" spans="1:28" x14ac:dyDescent="0.25">
      <c r="A114" s="22">
        <f t="shared" si="1"/>
        <v>0.38888888888888801</v>
      </c>
      <c r="P114" s="46">
        <v>7.0000000000000001E-3</v>
      </c>
      <c r="Q114" s="46">
        <v>2.7799999999999999E-3</v>
      </c>
      <c r="R114" s="46">
        <v>5.5599999999999998E-3</v>
      </c>
      <c r="S114" s="46">
        <v>5.0000000000000001E-3</v>
      </c>
      <c r="T114" s="48">
        <v>4.0000000000000001E-3</v>
      </c>
      <c r="U114" s="48">
        <v>4.4049999999999923E-3</v>
      </c>
      <c r="V114" s="18">
        <v>4.8499999999999099E-3</v>
      </c>
      <c r="W114" s="88">
        <v>5.4999999999999997E-3</v>
      </c>
      <c r="X114" s="51">
        <v>5.0000000000000001E-3</v>
      </c>
      <c r="Y114" s="51">
        <v>2.7799999999999999E-3</v>
      </c>
      <c r="Z114" s="51">
        <v>2.0799999999999998E-3</v>
      </c>
      <c r="AA114" s="51">
        <v>3.0000000000000001E-3</v>
      </c>
      <c r="AB114" s="43">
        <v>1.4500000000000013E-2</v>
      </c>
    </row>
    <row r="115" spans="1:28" x14ac:dyDescent="0.25">
      <c r="A115" s="22">
        <f t="shared" si="1"/>
        <v>0.39236111111111022</v>
      </c>
      <c r="P115" s="46">
        <v>7.0000000000000001E-3</v>
      </c>
      <c r="Q115" s="46">
        <v>2.7799999999999999E-3</v>
      </c>
      <c r="R115" s="46">
        <v>5.5599999999999998E-3</v>
      </c>
      <c r="S115" s="46">
        <v>5.0000000000000001E-3</v>
      </c>
      <c r="T115" s="48">
        <v>4.0000000000000001E-3</v>
      </c>
      <c r="U115" s="48">
        <v>4.3750000000000178E-3</v>
      </c>
      <c r="V115" s="18">
        <v>4.650000000000043E-3</v>
      </c>
      <c r="W115" s="88">
        <v>5.4999999999999997E-3</v>
      </c>
      <c r="X115" s="51">
        <v>5.0000000000000001E-3</v>
      </c>
      <c r="Y115" s="51">
        <v>2.7799999999999999E-3</v>
      </c>
      <c r="Z115" s="51">
        <v>2.0799999999999998E-3</v>
      </c>
      <c r="AA115" s="51">
        <v>3.0000000000000001E-3</v>
      </c>
      <c r="AB115" s="43">
        <v>8.0000000000000071E-3</v>
      </c>
    </row>
    <row r="116" spans="1:28" x14ac:dyDescent="0.25">
      <c r="A116" s="22">
        <f t="shared" si="1"/>
        <v>0.39583333333333243</v>
      </c>
      <c r="P116" s="46">
        <v>7.0000000000000001E-3</v>
      </c>
      <c r="Q116" s="46">
        <v>2.7799999999999999E-3</v>
      </c>
      <c r="R116" s="46">
        <v>5.5599999999999998E-3</v>
      </c>
      <c r="S116" s="46">
        <v>5.0000000000000001E-3</v>
      </c>
      <c r="T116" s="48">
        <v>4.0000000000000001E-3</v>
      </c>
      <c r="U116" s="48">
        <v>4.3483333333333984E-3</v>
      </c>
      <c r="V116" s="18">
        <v>4.5333333333333892E-3</v>
      </c>
      <c r="W116" s="88">
        <v>5.4999999999999997E-3</v>
      </c>
      <c r="X116" s="51">
        <v>5.0000000000000001E-3</v>
      </c>
      <c r="Y116" s="51">
        <v>2.7799999999999999E-3</v>
      </c>
      <c r="Z116" s="51">
        <v>2.0799999999999998E-3</v>
      </c>
      <c r="AA116" s="51">
        <v>3.0000000000000001E-3</v>
      </c>
      <c r="AB116" s="43">
        <v>8.0000000000000071E-3</v>
      </c>
    </row>
    <row r="117" spans="1:28" x14ac:dyDescent="0.25">
      <c r="A117" s="22">
        <f t="shared" si="1"/>
        <v>0.39930555555555464</v>
      </c>
      <c r="P117" s="46">
        <v>7.0000000000000001E-3</v>
      </c>
      <c r="Q117" s="46">
        <v>2.7799999999999999E-3</v>
      </c>
      <c r="R117" s="46">
        <v>5.5599999999999998E-3</v>
      </c>
      <c r="S117" s="46">
        <v>4.0000000000000001E-3</v>
      </c>
      <c r="T117" s="48">
        <v>4.0000000000000001E-3</v>
      </c>
      <c r="U117" s="48">
        <v>4.3416666666666881E-3</v>
      </c>
      <c r="V117" s="18">
        <v>4.6666666666665968E-3</v>
      </c>
      <c r="W117" s="88">
        <v>5.4999999999999997E-3</v>
      </c>
      <c r="X117" s="51">
        <v>5.0000000000000001E-3</v>
      </c>
      <c r="Y117" s="51">
        <v>2.7799999999999999E-3</v>
      </c>
      <c r="Z117" s="51">
        <v>2.0799999999999998E-3</v>
      </c>
      <c r="AA117" s="51">
        <v>3.0000000000000001E-3</v>
      </c>
      <c r="AB117" s="43">
        <v>6.3500000000000223E-3</v>
      </c>
    </row>
    <row r="118" spans="1:28" x14ac:dyDescent="0.25">
      <c r="A118" s="22">
        <f t="shared" si="1"/>
        <v>0.40277777777777685</v>
      </c>
      <c r="P118" s="46">
        <v>7.0000000000000001E-3</v>
      </c>
      <c r="Q118" s="46">
        <v>2.7799999999999999E-3</v>
      </c>
      <c r="R118" s="46">
        <v>4.4400000000000004E-3</v>
      </c>
      <c r="S118" s="46">
        <v>4.0000000000000001E-3</v>
      </c>
      <c r="T118" s="48">
        <v>4.0000000000000001E-3</v>
      </c>
      <c r="U118" s="48">
        <v>4.3083333333333584E-3</v>
      </c>
      <c r="V118" s="18">
        <v>4.6666666666667078E-3</v>
      </c>
      <c r="W118" s="88">
        <v>5.4999999999999997E-3</v>
      </c>
      <c r="X118" s="51">
        <v>5.0000000000000001E-3</v>
      </c>
      <c r="Y118" s="51">
        <v>3.3300000000000001E-3</v>
      </c>
      <c r="Z118" s="51">
        <v>2.0799999999999998E-3</v>
      </c>
      <c r="AA118" s="51">
        <v>3.0000000000000001E-3</v>
      </c>
      <c r="AB118" s="43">
        <v>6.3499999999999668E-3</v>
      </c>
    </row>
    <row r="119" spans="1:28" x14ac:dyDescent="0.25">
      <c r="A119" s="22">
        <f t="shared" si="1"/>
        <v>0.40624999999999906</v>
      </c>
      <c r="P119" s="46">
        <v>7.0000000000000001E-3</v>
      </c>
      <c r="Q119" s="46">
        <v>2.7799999999999999E-3</v>
      </c>
      <c r="R119" s="46">
        <v>4.1700000000000001E-3</v>
      </c>
      <c r="S119" s="46">
        <v>4.0000000000000001E-3</v>
      </c>
      <c r="T119" s="48">
        <v>4.0000000000000001E-3</v>
      </c>
      <c r="U119" s="48">
        <v>4.4816666666666061E-3</v>
      </c>
      <c r="V119" s="18">
        <v>4.5333333333332781E-3</v>
      </c>
      <c r="W119" s="88">
        <v>5.4999999999999997E-3</v>
      </c>
      <c r="X119" s="51">
        <v>5.0000000000000001E-3</v>
      </c>
      <c r="Y119" s="51">
        <v>3.47E-3</v>
      </c>
      <c r="Z119" s="51">
        <v>2.0799999999999998E-3</v>
      </c>
      <c r="AA119" s="51">
        <v>3.0000000000000001E-3</v>
      </c>
      <c r="AB119" s="43">
        <v>5.8000000000000274E-3</v>
      </c>
    </row>
    <row r="120" spans="1:28" x14ac:dyDescent="0.25">
      <c r="A120" s="22">
        <f t="shared" si="1"/>
        <v>0.40972222222222127</v>
      </c>
      <c r="P120" s="46">
        <v>7.0000000000000001E-3</v>
      </c>
      <c r="Q120" s="46">
        <v>2.7799999999999999E-3</v>
      </c>
      <c r="R120" s="46">
        <v>4.1700000000000001E-3</v>
      </c>
      <c r="S120" s="46">
        <v>4.0000000000000001E-3</v>
      </c>
      <c r="T120" s="48">
        <v>4.0000000000000001E-3</v>
      </c>
      <c r="U120" s="48">
        <v>4.4650000000000523E-3</v>
      </c>
      <c r="V120" s="18">
        <v>4.3999999999999595E-3</v>
      </c>
      <c r="W120" s="88">
        <v>5.4999999999999997E-3</v>
      </c>
      <c r="X120" s="51">
        <v>4.0000000000000001E-3</v>
      </c>
      <c r="Y120" s="51">
        <v>3.47E-3</v>
      </c>
      <c r="Z120" s="51">
        <v>2.0799999999999998E-3</v>
      </c>
      <c r="AA120" s="51">
        <v>3.0000000000000001E-3</v>
      </c>
      <c r="AB120" s="43">
        <v>5.7999999999999718E-3</v>
      </c>
    </row>
    <row r="121" spans="1:28" x14ac:dyDescent="0.25">
      <c r="A121" s="22">
        <f t="shared" si="1"/>
        <v>0.41319444444444348</v>
      </c>
      <c r="P121" s="46">
        <v>7.0000000000000001E-3</v>
      </c>
      <c r="Q121" s="46">
        <v>2.7799999999999999E-3</v>
      </c>
      <c r="R121" s="46">
        <v>4.1700000000000001E-3</v>
      </c>
      <c r="S121" s="46">
        <v>4.0000000000000001E-3</v>
      </c>
      <c r="T121" s="48">
        <v>4.0000000000000001E-3</v>
      </c>
      <c r="U121" s="48">
        <v>4.4016666666666371E-3</v>
      </c>
      <c r="V121" s="18">
        <v>4.3333333333334112E-3</v>
      </c>
      <c r="W121" s="88">
        <v>5.4999999999999997E-3</v>
      </c>
      <c r="X121" s="51">
        <v>4.0000000000000001E-3</v>
      </c>
      <c r="Y121" s="51">
        <v>3.47E-3</v>
      </c>
      <c r="Z121" s="51">
        <v>2.0799999999999998E-3</v>
      </c>
      <c r="AA121" s="51">
        <v>3.0000000000000001E-3</v>
      </c>
      <c r="AB121" s="43">
        <v>5.5000000000000049E-3</v>
      </c>
    </row>
    <row r="122" spans="1:28" x14ac:dyDescent="0.25">
      <c r="A122" s="22">
        <f t="shared" si="1"/>
        <v>0.41666666666666569</v>
      </c>
      <c r="P122" s="46">
        <v>7.0000000000000001E-3</v>
      </c>
      <c r="Q122" s="46">
        <v>2.7799999999999999E-3</v>
      </c>
      <c r="R122" s="46">
        <v>4.1700000000000001E-3</v>
      </c>
      <c r="S122" s="46">
        <v>4.0000000000000001E-3</v>
      </c>
      <c r="T122" s="48">
        <v>4.0000000000000001E-3</v>
      </c>
      <c r="U122" s="48">
        <v>4.3483333333333984E-3</v>
      </c>
      <c r="V122" s="18">
        <v>4.2999999999999705E-3</v>
      </c>
      <c r="W122" s="88">
        <v>5.4999999999999997E-3</v>
      </c>
      <c r="X122" s="51">
        <v>4.0000000000000001E-3</v>
      </c>
      <c r="Y122" s="51">
        <v>3.47E-3</v>
      </c>
      <c r="Z122" s="51">
        <v>2.0799999999999998E-3</v>
      </c>
      <c r="AA122" s="51">
        <v>3.0000000000000001E-3</v>
      </c>
      <c r="AB122" s="43">
        <v>5.5000000000000049E-3</v>
      </c>
    </row>
    <row r="123" spans="1:28" x14ac:dyDescent="0.25">
      <c r="A123" s="22">
        <f t="shared" si="1"/>
        <v>0.4201388888888879</v>
      </c>
      <c r="P123" s="46">
        <v>7.0000000000000001E-3</v>
      </c>
      <c r="Q123" s="46">
        <v>2.7799999999999999E-3</v>
      </c>
      <c r="R123" s="46">
        <v>4.1700000000000001E-3</v>
      </c>
      <c r="S123" s="46">
        <v>4.0000000000000001E-3</v>
      </c>
      <c r="T123" s="48">
        <v>4.0000000000000001E-3</v>
      </c>
      <c r="U123" s="48">
        <v>4.2749999999999178E-3</v>
      </c>
      <c r="V123" s="18">
        <v>4.1666666666666519E-3</v>
      </c>
      <c r="W123" s="88">
        <v>5.0000000000000001E-3</v>
      </c>
      <c r="X123" s="51">
        <v>4.0000000000000001E-3</v>
      </c>
      <c r="Y123" s="51">
        <v>3.47E-3</v>
      </c>
      <c r="Z123" s="51">
        <v>2.0799999999999998E-3</v>
      </c>
      <c r="AA123" s="51">
        <v>5.0000000000000001E-3</v>
      </c>
      <c r="AB123" s="43">
        <v>5.3000000000000269E-3</v>
      </c>
    </row>
    <row r="124" spans="1:28" x14ac:dyDescent="0.25">
      <c r="A124" s="22">
        <f t="shared" si="1"/>
        <v>0.42361111111111011</v>
      </c>
      <c r="P124" s="46">
        <v>7.0000000000000001E-3</v>
      </c>
      <c r="Q124" s="46">
        <v>2.7799999999999999E-3</v>
      </c>
      <c r="R124" s="46">
        <v>4.1700000000000001E-3</v>
      </c>
      <c r="S124" s="46">
        <v>4.0000000000000001E-3</v>
      </c>
      <c r="T124" s="48">
        <v>4.0000000000000001E-3</v>
      </c>
      <c r="U124" s="48">
        <v>4.2333333333333112E-3</v>
      </c>
      <c r="V124" s="18">
        <v>4.0000000000000036E-3</v>
      </c>
      <c r="W124" s="88">
        <v>5.0000000000000001E-3</v>
      </c>
      <c r="X124" s="51">
        <v>4.0000000000000001E-3</v>
      </c>
      <c r="Y124" s="51">
        <v>3.47E-3</v>
      </c>
      <c r="Z124" s="51">
        <v>2.0799999999999998E-3</v>
      </c>
      <c r="AA124" s="51">
        <v>5.0000000000000001E-3</v>
      </c>
      <c r="AB124" s="43">
        <v>5.2999999999999714E-3</v>
      </c>
    </row>
    <row r="125" spans="1:28" x14ac:dyDescent="0.25">
      <c r="A125" s="22">
        <f t="shared" si="1"/>
        <v>0.42708333333333232</v>
      </c>
      <c r="P125" s="46">
        <v>7.0000000000000001E-3</v>
      </c>
      <c r="Q125" s="46">
        <v>2.7799999999999999E-3</v>
      </c>
      <c r="R125" s="46">
        <v>4.1700000000000001E-3</v>
      </c>
      <c r="S125" s="46">
        <v>4.0000000000000001E-3</v>
      </c>
      <c r="T125" s="48">
        <v>4.0000000000000001E-3</v>
      </c>
      <c r="U125" s="48">
        <v>4.1933333333333822E-3</v>
      </c>
      <c r="V125" s="18">
        <v>4.0000000000000036E-3</v>
      </c>
      <c r="W125" s="88">
        <v>5.0000000000000001E-3</v>
      </c>
      <c r="X125" s="51">
        <v>4.0000000000000001E-3</v>
      </c>
      <c r="Y125" s="51">
        <v>3.47E-3</v>
      </c>
      <c r="Z125" s="51">
        <v>2.0799999999999998E-3</v>
      </c>
      <c r="AA125" s="51">
        <v>5.0000000000000001E-3</v>
      </c>
      <c r="AB125" s="43">
        <v>5.0999999999999934E-3</v>
      </c>
    </row>
    <row r="126" spans="1:28" x14ac:dyDescent="0.25">
      <c r="A126" s="22">
        <f t="shared" si="1"/>
        <v>0.43055555555555453</v>
      </c>
      <c r="P126" s="46">
        <v>7.0000000000000001E-3</v>
      </c>
      <c r="Q126" s="46">
        <v>2.7799999999999999E-3</v>
      </c>
      <c r="R126" s="46">
        <v>4.1700000000000001E-3</v>
      </c>
      <c r="S126" s="46">
        <v>4.0000000000000001E-3</v>
      </c>
      <c r="T126" s="48">
        <v>4.0000000000000001E-3</v>
      </c>
      <c r="U126" s="48">
        <v>4.1533333333332312E-3</v>
      </c>
      <c r="V126" s="18">
        <v>4.0000000000001146E-3</v>
      </c>
      <c r="W126" s="88">
        <v>5.0000000000000001E-3</v>
      </c>
      <c r="X126" s="51">
        <v>4.0000000000000001E-3</v>
      </c>
      <c r="Y126" s="51">
        <v>3.47E-3</v>
      </c>
      <c r="Z126" s="51">
        <v>2.0799999999999998E-3</v>
      </c>
      <c r="AA126" s="51">
        <v>5.0000000000000001E-3</v>
      </c>
      <c r="AB126" s="43">
        <v>5.0999999999999934E-3</v>
      </c>
    </row>
    <row r="127" spans="1:28" x14ac:dyDescent="0.25">
      <c r="A127" s="22">
        <f t="shared" si="1"/>
        <v>0.43402777777777674</v>
      </c>
      <c r="P127" s="46">
        <v>7.0000000000000001E-3</v>
      </c>
      <c r="Q127" s="46">
        <v>2.7799999999999999E-3</v>
      </c>
      <c r="R127" s="46">
        <v>4.1700000000000001E-3</v>
      </c>
      <c r="S127" s="46">
        <v>4.0000000000000001E-3</v>
      </c>
      <c r="T127" s="48">
        <v>4.0000000000000001E-3</v>
      </c>
      <c r="U127" s="48">
        <v>4.1266666666667229E-3</v>
      </c>
      <c r="V127" s="18">
        <v>3.9333333333332332E-3</v>
      </c>
      <c r="W127" s="88">
        <v>5.0000000000000001E-3</v>
      </c>
      <c r="X127" s="51">
        <v>4.0000000000000001E-3</v>
      </c>
      <c r="Y127" s="51">
        <v>3.47E-3</v>
      </c>
      <c r="Z127" s="51">
        <v>2.0799999999999998E-3</v>
      </c>
      <c r="AA127" s="51">
        <v>5.0000000000000001E-3</v>
      </c>
      <c r="AB127" s="43">
        <v>4.8000000000000265E-3</v>
      </c>
    </row>
    <row r="128" spans="1:28" x14ac:dyDescent="0.25">
      <c r="A128" s="22">
        <f t="shared" si="1"/>
        <v>0.43749999999999895</v>
      </c>
      <c r="P128" s="46">
        <v>7.0000000000000001E-3</v>
      </c>
      <c r="Q128" s="46">
        <v>2.7799999999999999E-3</v>
      </c>
      <c r="R128" s="46">
        <v>4.1700000000000001E-3</v>
      </c>
      <c r="S128" s="46">
        <v>4.0000000000000001E-3</v>
      </c>
      <c r="T128" s="48">
        <v>4.0000000000000001E-3</v>
      </c>
      <c r="U128" s="48">
        <v>4.1100000000000581E-3</v>
      </c>
      <c r="V128" s="18">
        <v>3.8666666666666849E-3</v>
      </c>
      <c r="W128" s="88">
        <v>5.0000000000000001E-3</v>
      </c>
      <c r="X128" s="51">
        <v>4.0000000000000001E-3</v>
      </c>
      <c r="Y128" s="51">
        <v>3.47E-3</v>
      </c>
      <c r="Z128" s="51">
        <v>2.0799999999999998E-3</v>
      </c>
      <c r="AA128" s="51">
        <v>5.0000000000000001E-3</v>
      </c>
      <c r="AB128" s="43">
        <v>4.7999999999999154E-3</v>
      </c>
    </row>
    <row r="129" spans="1:28" x14ac:dyDescent="0.25">
      <c r="A129" s="22">
        <f t="shared" si="1"/>
        <v>0.44097222222222116</v>
      </c>
      <c r="P129" s="46">
        <v>7.0000000000000001E-3</v>
      </c>
      <c r="Q129" s="46">
        <v>2.7799999999999999E-3</v>
      </c>
      <c r="R129" s="46">
        <v>4.1700000000000001E-3</v>
      </c>
      <c r="S129" s="46">
        <v>4.0000000000000001E-3</v>
      </c>
      <c r="T129" s="48">
        <v>4.0000000000000001E-3</v>
      </c>
      <c r="U129" s="48">
        <v>4.0833333333333277E-3</v>
      </c>
      <c r="V129" s="18">
        <v>4.0000000000000036E-3</v>
      </c>
      <c r="W129" s="88">
        <v>5.0000000000000001E-3</v>
      </c>
      <c r="X129" s="51">
        <v>4.0000000000000001E-3</v>
      </c>
      <c r="Y129" s="51">
        <v>3.47E-3</v>
      </c>
      <c r="Z129" s="51">
        <v>2.0799999999999998E-3</v>
      </c>
      <c r="AA129" s="51">
        <v>5.0000000000000001E-3</v>
      </c>
      <c r="AB129" s="43">
        <v>4.450000000000065E-3</v>
      </c>
    </row>
    <row r="130" spans="1:28" x14ac:dyDescent="0.25">
      <c r="A130" s="22">
        <f t="shared" si="1"/>
        <v>0.44444444444444337</v>
      </c>
      <c r="P130" s="46">
        <v>7.0000000000000001E-3</v>
      </c>
      <c r="Q130" s="46">
        <v>2.7799999999999999E-3</v>
      </c>
      <c r="R130" s="46">
        <v>4.1700000000000001E-3</v>
      </c>
      <c r="S130" s="46">
        <v>4.0000000000000001E-3</v>
      </c>
      <c r="T130" s="48">
        <v>4.0000000000000001E-3</v>
      </c>
      <c r="U130" s="48">
        <v>4.0916666666666046E-3</v>
      </c>
      <c r="V130" s="18">
        <v>3.8333333333333552E-3</v>
      </c>
      <c r="W130" s="88">
        <v>5.0000000000000001E-3</v>
      </c>
      <c r="X130" s="51">
        <v>4.0000000000000001E-3</v>
      </c>
      <c r="Y130" s="51">
        <v>3.47E-3</v>
      </c>
      <c r="Z130" s="51">
        <v>2.0799999999999998E-3</v>
      </c>
      <c r="AA130" s="51">
        <v>5.0000000000000001E-3</v>
      </c>
      <c r="AB130" s="43">
        <v>4.449999999999954E-3</v>
      </c>
    </row>
    <row r="131" spans="1:28" x14ac:dyDescent="0.25">
      <c r="A131" s="22">
        <f t="shared" si="1"/>
        <v>0.44791666666666557</v>
      </c>
      <c r="P131" s="46">
        <v>7.0000000000000001E-3</v>
      </c>
      <c r="Q131" s="46">
        <v>2.7799999999999999E-3</v>
      </c>
      <c r="R131" s="46">
        <v>4.1700000000000001E-3</v>
      </c>
      <c r="S131" s="46">
        <v>4.0000000000000001E-3</v>
      </c>
      <c r="T131" s="48">
        <v>4.0000000000000001E-3</v>
      </c>
      <c r="U131" s="48">
        <v>4.1050000000000253E-3</v>
      </c>
      <c r="V131" s="18">
        <v>3.8333333333333552E-3</v>
      </c>
      <c r="W131" s="88">
        <v>5.0000000000000001E-3</v>
      </c>
      <c r="X131" s="51">
        <v>4.0000000000000001E-3</v>
      </c>
      <c r="Y131" s="51">
        <v>3.47E-3</v>
      </c>
      <c r="Z131" s="51">
        <v>2.0799999999999998E-3</v>
      </c>
      <c r="AA131" s="51">
        <v>5.0000000000000001E-3</v>
      </c>
      <c r="AB131" s="43">
        <v>4.249999999999976E-3</v>
      </c>
    </row>
    <row r="132" spans="1:28" x14ac:dyDescent="0.25">
      <c r="A132" s="22">
        <f t="shared" ref="A132:A195" si="2">A131+TIME(0,5,0)</f>
        <v>0.45138888888888778</v>
      </c>
      <c r="P132" s="46">
        <v>7.0000000000000001E-3</v>
      </c>
      <c r="Q132" s="46">
        <v>2.2200000000000002E-3</v>
      </c>
      <c r="R132" s="46">
        <v>3.6099999999999999E-3</v>
      </c>
      <c r="S132" s="46">
        <v>4.0000000000000001E-3</v>
      </c>
      <c r="T132" s="48">
        <v>4.0000000000000001E-3</v>
      </c>
      <c r="U132" s="48">
        <v>4.098333333333315E-3</v>
      </c>
      <c r="V132" s="18">
        <v>3.8333333333332442E-3</v>
      </c>
      <c r="W132" s="88">
        <v>5.0000000000000001E-3</v>
      </c>
      <c r="X132" s="51">
        <v>4.0000000000000001E-3</v>
      </c>
      <c r="Y132" s="51">
        <v>3.7499999999999999E-3</v>
      </c>
      <c r="Z132" s="51">
        <v>2.0799999999999998E-3</v>
      </c>
      <c r="AA132" s="51">
        <v>5.0000000000000001E-3</v>
      </c>
      <c r="AB132" s="43">
        <v>4.250000000000087E-3</v>
      </c>
    </row>
    <row r="133" spans="1:28" x14ac:dyDescent="0.25">
      <c r="A133" s="22">
        <f t="shared" si="2"/>
        <v>0.45486111111110999</v>
      </c>
      <c r="P133" s="46">
        <v>7.0000000000000001E-3</v>
      </c>
      <c r="Q133" s="46">
        <v>1.39E-3</v>
      </c>
      <c r="R133" s="46">
        <v>2.7799999999999999E-3</v>
      </c>
      <c r="S133" s="46">
        <v>4.0000000000000001E-3</v>
      </c>
      <c r="T133" s="48">
        <v>4.0000000000000001E-3</v>
      </c>
      <c r="U133" s="48">
        <v>4.0850000000000053E-3</v>
      </c>
      <c r="V133" s="18">
        <v>3.7666666666666959E-3</v>
      </c>
      <c r="W133" s="88">
        <v>5.0000000000000001E-3</v>
      </c>
      <c r="X133" s="51">
        <v>4.0000000000000001E-3</v>
      </c>
      <c r="Y133" s="51">
        <v>4.1700000000000001E-3</v>
      </c>
      <c r="Z133" s="51">
        <v>2.0799999999999998E-3</v>
      </c>
      <c r="AA133" s="51">
        <v>5.0000000000000001E-3</v>
      </c>
      <c r="AB133" s="43">
        <v>4.149999999999987E-3</v>
      </c>
    </row>
    <row r="134" spans="1:28" x14ac:dyDescent="0.25">
      <c r="A134" s="22">
        <f t="shared" si="2"/>
        <v>0.4583333333333322</v>
      </c>
      <c r="P134" s="46">
        <v>7.0000000000000001E-3</v>
      </c>
      <c r="Q134" s="46">
        <v>1.39E-3</v>
      </c>
      <c r="R134" s="46">
        <v>2.7799999999999999E-3</v>
      </c>
      <c r="S134" s="46">
        <v>4.0000000000000001E-3</v>
      </c>
      <c r="T134" s="48">
        <v>4.0000000000000001E-3</v>
      </c>
      <c r="U134" s="48">
        <v>4.0733333333333732E-3</v>
      </c>
      <c r="V134" s="18">
        <v>3.6666666666667069E-3</v>
      </c>
      <c r="W134" s="88">
        <v>5.0000000000000001E-3</v>
      </c>
      <c r="X134" s="51">
        <v>4.0000000000000001E-3</v>
      </c>
      <c r="Y134" s="51">
        <v>4.1700000000000001E-3</v>
      </c>
      <c r="Z134" s="51">
        <v>2.0799999999999998E-3</v>
      </c>
      <c r="AA134" s="51">
        <v>5.0000000000000001E-3</v>
      </c>
      <c r="AB134" s="43">
        <v>4.149999999999987E-3</v>
      </c>
    </row>
    <row r="135" spans="1:28" x14ac:dyDescent="0.25">
      <c r="A135" s="22">
        <f t="shared" si="2"/>
        <v>0.46180555555555441</v>
      </c>
      <c r="P135" s="46">
        <v>6.0000000000000001E-3</v>
      </c>
      <c r="Q135" s="46">
        <v>1.39E-3</v>
      </c>
      <c r="R135" s="46">
        <v>2.7799999999999999E-3</v>
      </c>
      <c r="S135" s="46">
        <v>4.0000000000000001E-3</v>
      </c>
      <c r="T135" s="48">
        <v>4.0000000000000001E-3</v>
      </c>
      <c r="U135" s="48">
        <v>4.0666666666666629E-3</v>
      </c>
      <c r="V135" s="18">
        <v>3.6666666666665959E-3</v>
      </c>
      <c r="W135" s="88">
        <v>4.2500000000000003E-3</v>
      </c>
      <c r="X135" s="51">
        <v>4.0000000000000001E-3</v>
      </c>
      <c r="Y135" s="51">
        <v>4.1700000000000001E-3</v>
      </c>
      <c r="Z135" s="51">
        <v>2.0799999999999998E-3</v>
      </c>
      <c r="AA135" s="51">
        <v>5.0000000000000001E-3</v>
      </c>
      <c r="AB135" s="43">
        <v>4.0999999999999925E-3</v>
      </c>
    </row>
    <row r="136" spans="1:28" x14ac:dyDescent="0.25">
      <c r="A136" s="22">
        <f t="shared" si="2"/>
        <v>0.46527777777777662</v>
      </c>
      <c r="P136" s="46">
        <v>6.0000000000000001E-3</v>
      </c>
      <c r="Q136" s="46">
        <v>1.39E-3</v>
      </c>
      <c r="R136" s="46">
        <v>2.7799999999999999E-3</v>
      </c>
      <c r="S136" s="46">
        <v>4.0000000000000001E-3</v>
      </c>
      <c r="T136" s="48">
        <v>4.0000000000000001E-3</v>
      </c>
      <c r="U136" s="48">
        <v>4.0333333333333332E-3</v>
      </c>
      <c r="V136" s="18">
        <v>3.5000000000000586E-3</v>
      </c>
      <c r="W136" s="88">
        <v>4.2500000000000003E-3</v>
      </c>
      <c r="X136" s="51">
        <v>4.0000000000000001E-3</v>
      </c>
      <c r="Y136" s="51">
        <v>4.1700000000000001E-3</v>
      </c>
      <c r="Z136" s="51">
        <v>2.0799999999999998E-3</v>
      </c>
      <c r="AA136" s="51">
        <v>5.0000000000000001E-3</v>
      </c>
      <c r="AB136" s="43">
        <v>4.0999999999999925E-3</v>
      </c>
    </row>
    <row r="137" spans="1:28" x14ac:dyDescent="0.25">
      <c r="A137" s="22">
        <f t="shared" si="2"/>
        <v>0.46874999999999883</v>
      </c>
      <c r="P137" s="46">
        <v>6.0000000000000001E-3</v>
      </c>
      <c r="Q137" s="46">
        <v>1.39E-3</v>
      </c>
      <c r="R137" s="46">
        <v>2.7799999999999999E-3</v>
      </c>
      <c r="S137" s="46">
        <v>4.0000000000000001E-3</v>
      </c>
      <c r="T137" s="48">
        <v>4.0000000000000001E-3</v>
      </c>
      <c r="U137" s="48">
        <v>4.0266666666666229E-3</v>
      </c>
      <c r="V137" s="18">
        <v>3.5000000000000586E-3</v>
      </c>
      <c r="W137" s="88">
        <v>4.2500000000000003E-3</v>
      </c>
      <c r="X137" s="51">
        <v>4.0000000000000001E-3</v>
      </c>
      <c r="Y137" s="51">
        <v>4.1700000000000001E-3</v>
      </c>
      <c r="Z137" s="51">
        <v>2.0799999999999998E-3</v>
      </c>
      <c r="AA137" s="51">
        <v>5.0000000000000001E-3</v>
      </c>
      <c r="AB137" s="43">
        <v>4.049999999999998E-3</v>
      </c>
    </row>
    <row r="138" spans="1:28" x14ac:dyDescent="0.25">
      <c r="A138" s="22">
        <f t="shared" si="2"/>
        <v>0.47222222222222104</v>
      </c>
      <c r="P138" s="46">
        <v>6.0000000000000001E-3</v>
      </c>
      <c r="Q138" s="46">
        <v>1.39E-3</v>
      </c>
      <c r="R138" s="46">
        <v>2.7799999999999999E-3</v>
      </c>
      <c r="S138" s="46">
        <v>4.0000000000000001E-3</v>
      </c>
      <c r="T138" s="48">
        <v>4.0000000000000001E-3</v>
      </c>
      <c r="U138" s="48">
        <v>4.009999999999958E-3</v>
      </c>
      <c r="V138" s="18">
        <v>3.4999999999999476E-3</v>
      </c>
      <c r="W138" s="88">
        <v>4.2500000000000003E-3</v>
      </c>
      <c r="X138" s="51">
        <v>3.0000000000000001E-3</v>
      </c>
      <c r="Y138" s="51">
        <v>4.1700000000000001E-3</v>
      </c>
      <c r="Z138" s="51">
        <v>2.0799999999999998E-3</v>
      </c>
      <c r="AA138" s="51">
        <v>5.0000000000000001E-3</v>
      </c>
      <c r="AB138" s="43">
        <v>4.049999999999998E-3</v>
      </c>
    </row>
    <row r="139" spans="1:28" x14ac:dyDescent="0.25">
      <c r="A139" s="22">
        <f t="shared" si="2"/>
        <v>0.47569444444444325</v>
      </c>
      <c r="P139" s="46">
        <v>6.0000000000000001E-3</v>
      </c>
      <c r="Q139" s="46">
        <v>1.67E-3</v>
      </c>
      <c r="R139" s="46">
        <v>3.0599999999999998E-3</v>
      </c>
      <c r="S139" s="46">
        <v>4.0000000000000001E-3</v>
      </c>
      <c r="T139" s="48">
        <v>4.0000000000000001E-3</v>
      </c>
      <c r="U139" s="48">
        <v>3.9900000000000491E-3</v>
      </c>
      <c r="V139" s="18">
        <v>3.4333333333332883E-3</v>
      </c>
      <c r="W139" s="88">
        <v>4.2500000000000003E-3</v>
      </c>
      <c r="X139" s="51">
        <v>3.0000000000000001E-3</v>
      </c>
      <c r="Y139" s="51">
        <v>4.1700000000000001E-3</v>
      </c>
      <c r="Z139" s="51">
        <v>2.0799999999999998E-3</v>
      </c>
      <c r="AA139" s="51">
        <v>5.0000000000000001E-3</v>
      </c>
      <c r="AB139" s="43">
        <v>4.0000000000000036E-3</v>
      </c>
    </row>
    <row r="140" spans="1:28" x14ac:dyDescent="0.25">
      <c r="A140" s="22">
        <f t="shared" si="2"/>
        <v>0.47916666666666546</v>
      </c>
      <c r="P140" s="46">
        <v>6.0000000000000001E-3</v>
      </c>
      <c r="Q140" s="46">
        <v>2.7799999999999999E-3</v>
      </c>
      <c r="R140" s="46">
        <v>4.1700000000000001E-3</v>
      </c>
      <c r="S140" s="46">
        <v>4.0000000000000001E-3</v>
      </c>
      <c r="T140" s="48">
        <v>4.0000000000000001E-3</v>
      </c>
      <c r="U140" s="48">
        <v>3.9733333333332732E-3</v>
      </c>
      <c r="V140" s="18">
        <v>3.3166666666667455E-3</v>
      </c>
      <c r="W140" s="88">
        <v>4.2500000000000003E-3</v>
      </c>
      <c r="X140" s="51">
        <v>3.0000000000000001E-3</v>
      </c>
      <c r="Y140" s="51">
        <v>4.1700000000000001E-3</v>
      </c>
      <c r="Z140" s="51">
        <v>2.0799999999999998E-3</v>
      </c>
      <c r="AA140" s="51">
        <v>5.0000000000000001E-3</v>
      </c>
      <c r="AB140" s="43">
        <v>4.0000000000000036E-3</v>
      </c>
    </row>
    <row r="141" spans="1:28" x14ac:dyDescent="0.25">
      <c r="A141" s="22">
        <f t="shared" si="2"/>
        <v>0.48263888888888767</v>
      </c>
      <c r="P141" s="46">
        <v>6.0000000000000001E-3</v>
      </c>
      <c r="Q141" s="46">
        <v>2.7799999999999999E-3</v>
      </c>
      <c r="R141" s="46">
        <v>4.1700000000000001E-3</v>
      </c>
      <c r="S141" s="46">
        <v>4.0000000000000001E-3</v>
      </c>
      <c r="T141" s="48">
        <v>4.0000000000000001E-3</v>
      </c>
      <c r="U141" s="48">
        <v>3.9666666666667849E-3</v>
      </c>
      <c r="V141" s="18">
        <v>3.2499999999999751E-3</v>
      </c>
      <c r="W141" s="88">
        <v>4.2500000000000003E-3</v>
      </c>
      <c r="X141" s="51">
        <v>3.0000000000000001E-3</v>
      </c>
      <c r="Y141" s="51">
        <v>4.1700000000000001E-3</v>
      </c>
      <c r="Z141" s="51">
        <v>2.0799999999999998E-3</v>
      </c>
      <c r="AA141" s="51">
        <v>5.0000000000000001E-3</v>
      </c>
      <c r="AB141" s="43">
        <v>3.9500000000000091E-3</v>
      </c>
    </row>
    <row r="142" spans="1:28" x14ac:dyDescent="0.25">
      <c r="A142" s="22">
        <f t="shared" si="2"/>
        <v>0.48611111111110988</v>
      </c>
      <c r="P142" s="46">
        <v>6.0000000000000001E-3</v>
      </c>
      <c r="Q142" s="46">
        <v>2.7799999999999999E-3</v>
      </c>
      <c r="R142" s="46">
        <v>4.1700000000000001E-3</v>
      </c>
      <c r="S142" s="46">
        <v>4.0000000000000001E-3</v>
      </c>
      <c r="T142" s="48">
        <v>4.0000000000000001E-3</v>
      </c>
      <c r="U142" s="48">
        <v>3.9500000000000091E-3</v>
      </c>
      <c r="V142" s="18">
        <v>3.16666666666654E-3</v>
      </c>
      <c r="W142" s="88">
        <v>4.2500000000000003E-3</v>
      </c>
      <c r="X142" s="51">
        <v>3.0000000000000001E-3</v>
      </c>
      <c r="Y142" s="51">
        <v>4.1700000000000001E-3</v>
      </c>
      <c r="Z142" s="51">
        <v>2.0799999999999998E-3</v>
      </c>
      <c r="AA142" s="51">
        <v>5.0000000000000001E-3</v>
      </c>
      <c r="AB142" s="43">
        <v>3.9500000000000091E-3</v>
      </c>
    </row>
    <row r="143" spans="1:28" x14ac:dyDescent="0.25">
      <c r="A143" s="22">
        <f t="shared" si="2"/>
        <v>0.48958333333333209</v>
      </c>
      <c r="P143" s="46">
        <v>6.0000000000000001E-3</v>
      </c>
      <c r="Q143" s="46">
        <v>2.7799999999999999E-3</v>
      </c>
      <c r="R143" s="46">
        <v>4.1700000000000001E-3</v>
      </c>
      <c r="S143" s="46">
        <v>4.0000000000000001E-3</v>
      </c>
      <c r="T143" s="48">
        <v>4.0000000000000001E-3</v>
      </c>
      <c r="U143" s="48">
        <v>3.9299999999999891E-3</v>
      </c>
      <c r="V143" s="18">
        <v>3.166666666666762E-3</v>
      </c>
      <c r="W143" s="88">
        <v>4.2500000000000003E-3</v>
      </c>
      <c r="X143" s="51">
        <v>3.0000000000000001E-3</v>
      </c>
      <c r="Y143" s="51">
        <v>4.1700000000000001E-3</v>
      </c>
      <c r="Z143" s="51">
        <v>2.0799999999999998E-3</v>
      </c>
      <c r="AA143" s="51">
        <v>5.0000000000000001E-3</v>
      </c>
      <c r="AB143" s="43">
        <v>3.9000000000000146E-3</v>
      </c>
    </row>
    <row r="144" spans="1:28" x14ac:dyDescent="0.25">
      <c r="A144" s="22">
        <f t="shared" si="2"/>
        <v>0.4930555555555543</v>
      </c>
      <c r="P144" s="46">
        <v>6.0000000000000001E-3</v>
      </c>
      <c r="Q144" s="46">
        <v>2.7799999999999999E-3</v>
      </c>
      <c r="R144" s="46">
        <v>4.1700000000000001E-3</v>
      </c>
      <c r="S144" s="46">
        <v>4.0000000000000001E-3</v>
      </c>
      <c r="T144" s="48">
        <v>4.0000000000000001E-3</v>
      </c>
      <c r="U144" s="48">
        <v>3.9199999999999235E-3</v>
      </c>
      <c r="V144" s="18">
        <v>3.166666666666651E-3</v>
      </c>
      <c r="W144" s="88">
        <v>4.2500000000000003E-3</v>
      </c>
      <c r="X144" s="51">
        <v>3.0000000000000001E-3</v>
      </c>
      <c r="Y144" s="51">
        <v>4.1700000000000001E-3</v>
      </c>
      <c r="Z144" s="51">
        <v>2.0799999999999998E-3</v>
      </c>
      <c r="AA144" s="51">
        <v>5.0000000000000001E-3</v>
      </c>
      <c r="AB144" s="43">
        <v>3.9000000000000146E-3</v>
      </c>
    </row>
    <row r="145" spans="1:28" x14ac:dyDescent="0.25">
      <c r="A145" s="22">
        <f t="shared" si="2"/>
        <v>0.49652777777777651</v>
      </c>
      <c r="P145" s="46">
        <v>6.0000000000000001E-3</v>
      </c>
      <c r="Q145" s="46">
        <v>2.7799999999999999E-3</v>
      </c>
      <c r="R145" s="46">
        <v>4.1700000000000001E-3</v>
      </c>
      <c r="S145" s="46">
        <v>4.0000000000000001E-3</v>
      </c>
      <c r="T145" s="48">
        <v>4.0000000000000001E-3</v>
      </c>
      <c r="U145" s="48">
        <v>3.9066666666667249E-3</v>
      </c>
      <c r="V145" s="18">
        <v>3.1333333333333213E-3</v>
      </c>
      <c r="W145" s="88">
        <v>4.2500000000000003E-3</v>
      </c>
      <c r="X145" s="51">
        <v>3.0000000000000001E-3</v>
      </c>
      <c r="Y145" s="51">
        <v>4.1700000000000001E-3</v>
      </c>
      <c r="Z145" s="51">
        <v>2.0799999999999998E-3</v>
      </c>
      <c r="AA145" s="51">
        <v>5.0000000000000001E-3</v>
      </c>
      <c r="AB145" s="43">
        <v>3.9000000000000146E-3</v>
      </c>
    </row>
    <row r="146" spans="1:28" ht="15.75" thickBot="1" x14ac:dyDescent="0.3">
      <c r="A146" s="22">
        <f t="shared" si="2"/>
        <v>0.49999999999999872</v>
      </c>
      <c r="P146" s="40">
        <v>6.0000000000000001E-3</v>
      </c>
      <c r="Q146" s="40">
        <v>2.7799999999999999E-3</v>
      </c>
      <c r="R146" s="40">
        <v>4.1700000000000001E-3</v>
      </c>
      <c r="S146" s="40">
        <v>4.0000000000000001E-3</v>
      </c>
      <c r="T146" s="44">
        <v>4.0000000000000001E-3</v>
      </c>
      <c r="U146" s="44">
        <v>3.1133333333333013E-3</v>
      </c>
      <c r="V146" s="18">
        <v>3.0833333333333268E-3</v>
      </c>
      <c r="W146" s="88">
        <v>4.2500000000000003E-3</v>
      </c>
      <c r="X146" s="51">
        <v>3.0000000000000001E-3</v>
      </c>
      <c r="Y146" s="51">
        <v>4.1700000000000001E-3</v>
      </c>
      <c r="Z146" s="51">
        <v>2.0799999999999998E-3</v>
      </c>
      <c r="AA146" s="51">
        <v>5.0000000000000001E-3</v>
      </c>
      <c r="AB146" s="43">
        <v>3.8999999999999035E-3</v>
      </c>
    </row>
    <row r="147" spans="1:28" x14ac:dyDescent="0.25">
      <c r="A147" s="22">
        <f t="shared" si="2"/>
        <v>0.50347222222222099</v>
      </c>
      <c r="V147" s="18">
        <v>3.0833333333333268E-3</v>
      </c>
      <c r="W147" s="88">
        <v>3.2499999999999999E-3</v>
      </c>
      <c r="X147" s="51">
        <v>3.0000000000000001E-3</v>
      </c>
      <c r="Y147" s="51">
        <v>4.8599999999999997E-3</v>
      </c>
      <c r="Z147" s="51">
        <v>2.7799999999999999E-3</v>
      </c>
      <c r="AA147" s="51">
        <v>4.0000000000000001E-3</v>
      </c>
      <c r="AB147" s="43">
        <v>3.8500000000000201E-3</v>
      </c>
    </row>
    <row r="148" spans="1:28" x14ac:dyDescent="0.25">
      <c r="A148" s="22">
        <f t="shared" si="2"/>
        <v>0.5069444444444432</v>
      </c>
      <c r="V148" s="18">
        <v>3.166666666666651E-3</v>
      </c>
      <c r="W148" s="88">
        <v>3.2499999999999999E-3</v>
      </c>
      <c r="X148" s="51">
        <v>3.0000000000000001E-3</v>
      </c>
      <c r="Y148" s="51">
        <v>4.8599999999999997E-3</v>
      </c>
      <c r="Z148" s="51">
        <v>2.7799999999999999E-3</v>
      </c>
      <c r="AA148" s="51">
        <v>4.0000000000000001E-3</v>
      </c>
      <c r="AB148" s="43">
        <v>3.8500000000000201E-3</v>
      </c>
    </row>
    <row r="149" spans="1:28" x14ac:dyDescent="0.25">
      <c r="A149" s="22">
        <f t="shared" si="2"/>
        <v>0.51041666666666541</v>
      </c>
      <c r="V149" s="18">
        <v>3.166666666666762E-3</v>
      </c>
      <c r="W149" s="88">
        <v>3.2499999999999999E-3</v>
      </c>
      <c r="X149" s="51">
        <v>3.0000000000000001E-3</v>
      </c>
      <c r="Y149" s="51">
        <v>4.8599999999999997E-3</v>
      </c>
      <c r="Z149" s="51">
        <v>2.7799999999999999E-3</v>
      </c>
      <c r="AA149" s="51">
        <v>4.0000000000000001E-3</v>
      </c>
      <c r="AB149" s="43">
        <v>3.8500000000000201E-3</v>
      </c>
    </row>
    <row r="150" spans="1:28" x14ac:dyDescent="0.25">
      <c r="A150" s="22">
        <f t="shared" si="2"/>
        <v>0.51388888888888762</v>
      </c>
      <c r="V150" s="18">
        <v>3.166666666666651E-3</v>
      </c>
      <c r="W150" s="88">
        <v>3.2499999999999999E-3</v>
      </c>
      <c r="X150" s="51">
        <v>3.0000000000000001E-3</v>
      </c>
      <c r="Y150" s="51">
        <v>4.8599999999999997E-3</v>
      </c>
      <c r="Z150" s="51">
        <v>2.7799999999999999E-3</v>
      </c>
      <c r="AA150" s="51">
        <v>4.0000000000000001E-3</v>
      </c>
      <c r="AB150" s="43">
        <v>3.8500000000000201E-3</v>
      </c>
    </row>
    <row r="151" spans="1:28" x14ac:dyDescent="0.25">
      <c r="A151" s="22">
        <f t="shared" si="2"/>
        <v>0.51736111111110983</v>
      </c>
      <c r="V151" s="18">
        <v>3.1999999999999806E-3</v>
      </c>
      <c r="W151" s="88">
        <v>3.2499999999999999E-3</v>
      </c>
      <c r="X151" s="51">
        <v>3.0000000000000001E-3</v>
      </c>
      <c r="Y151" s="51">
        <v>4.8599999999999997E-3</v>
      </c>
      <c r="Z151" s="51">
        <v>2.7799999999999999E-3</v>
      </c>
      <c r="AA151" s="51">
        <v>4.0000000000000001E-3</v>
      </c>
      <c r="AB151" s="43">
        <v>3.7999999999999146E-3</v>
      </c>
    </row>
    <row r="152" spans="1:28" x14ac:dyDescent="0.25">
      <c r="A152" s="22">
        <f t="shared" si="2"/>
        <v>0.52083333333333204</v>
      </c>
      <c r="V152" s="18">
        <v>3.1999999999999806E-3</v>
      </c>
      <c r="W152" s="88">
        <v>3.2499999999999999E-3</v>
      </c>
      <c r="X152" s="51">
        <v>3.0000000000000001E-3</v>
      </c>
      <c r="Y152" s="51">
        <v>4.8599999999999997E-3</v>
      </c>
      <c r="Z152" s="51">
        <v>2.7799999999999999E-3</v>
      </c>
      <c r="AA152" s="51">
        <v>4.0000000000000001E-3</v>
      </c>
      <c r="AB152" s="43">
        <v>3.8000000000000256E-3</v>
      </c>
    </row>
    <row r="153" spans="1:28" x14ac:dyDescent="0.25">
      <c r="A153" s="22">
        <f t="shared" si="2"/>
        <v>0.52430555555555425</v>
      </c>
      <c r="V153" s="18">
        <v>3.0000000000000027E-3</v>
      </c>
      <c r="W153" s="88">
        <v>3.2499999999999999E-3</v>
      </c>
      <c r="X153" s="51">
        <v>3.0000000000000001E-3</v>
      </c>
      <c r="Y153" s="51">
        <v>4.8599999999999997E-3</v>
      </c>
      <c r="Z153" s="51">
        <v>2.7799999999999999E-3</v>
      </c>
      <c r="AA153" s="51">
        <v>4.0000000000000001E-3</v>
      </c>
      <c r="AB153" s="43">
        <v>3.8000000000000256E-3</v>
      </c>
    </row>
    <row r="154" spans="1:28" x14ac:dyDescent="0.25">
      <c r="A154" s="22">
        <f t="shared" si="2"/>
        <v>0.52777777777777646</v>
      </c>
      <c r="V154" s="18">
        <v>3.0833333333333268E-3</v>
      </c>
      <c r="W154" s="88">
        <v>3.2499999999999999E-3</v>
      </c>
      <c r="X154" s="51">
        <v>3.0000000000000001E-3</v>
      </c>
      <c r="Y154" s="51">
        <v>4.8599999999999997E-3</v>
      </c>
      <c r="Z154" s="51">
        <v>2.7799999999999999E-3</v>
      </c>
      <c r="AA154" s="51">
        <v>4.0000000000000001E-3</v>
      </c>
      <c r="AB154" s="43">
        <v>3.8000000000000256E-3</v>
      </c>
    </row>
    <row r="155" spans="1:28" x14ac:dyDescent="0.25">
      <c r="A155" s="22">
        <f t="shared" si="2"/>
        <v>0.53124999999999867</v>
      </c>
      <c r="V155" s="18">
        <v>3.0166666666666675E-3</v>
      </c>
      <c r="W155" s="88">
        <v>3.2499999999999999E-3</v>
      </c>
      <c r="X155" s="51">
        <v>3.0000000000000001E-3</v>
      </c>
      <c r="Y155" s="51">
        <v>4.8599999999999997E-3</v>
      </c>
      <c r="Z155" s="51">
        <v>2.7799999999999999E-3</v>
      </c>
      <c r="AA155" s="51">
        <v>4.0000000000000001E-3</v>
      </c>
      <c r="AB155" s="43">
        <v>3.7499999999999201E-3</v>
      </c>
    </row>
    <row r="156" spans="1:28" x14ac:dyDescent="0.25">
      <c r="A156" s="22">
        <f t="shared" si="2"/>
        <v>0.53472222222222088</v>
      </c>
      <c r="V156" s="18">
        <v>2.9500000000000082E-3</v>
      </c>
      <c r="W156" s="88">
        <v>3.2499999999999999E-3</v>
      </c>
      <c r="X156" s="51">
        <v>3.0000000000000001E-3</v>
      </c>
      <c r="Y156" s="51">
        <v>4.8599999999999997E-3</v>
      </c>
      <c r="Z156" s="51">
        <v>2.7799999999999999E-3</v>
      </c>
      <c r="AA156" s="51">
        <v>4.0000000000000001E-3</v>
      </c>
      <c r="AB156" s="43">
        <v>3.7500000000000311E-3</v>
      </c>
    </row>
    <row r="157" spans="1:28" x14ac:dyDescent="0.25">
      <c r="A157" s="22">
        <f t="shared" si="2"/>
        <v>0.53819444444444309</v>
      </c>
      <c r="V157" s="18">
        <v>2.9500000000000082E-3</v>
      </c>
      <c r="W157" s="88">
        <v>3.2499999999999999E-3</v>
      </c>
      <c r="X157" s="51">
        <v>3.0000000000000001E-3</v>
      </c>
      <c r="Y157" s="51">
        <v>4.8599999999999997E-3</v>
      </c>
      <c r="Z157" s="51">
        <v>2.7799999999999999E-3</v>
      </c>
      <c r="AA157" s="51">
        <v>4.0000000000000001E-3</v>
      </c>
      <c r="AB157" s="43">
        <v>3.7500000000000311E-3</v>
      </c>
    </row>
    <row r="158" spans="1:28" x14ac:dyDescent="0.25">
      <c r="A158" s="22">
        <f t="shared" si="2"/>
        <v>0.5416666666666653</v>
      </c>
      <c r="V158" s="18">
        <v>3.0166666666666675E-3</v>
      </c>
      <c r="W158" s="88">
        <v>3.2499999999999999E-3</v>
      </c>
      <c r="X158" s="51">
        <v>3.0000000000000001E-3</v>
      </c>
      <c r="Y158" s="51">
        <v>4.8599999999999997E-3</v>
      </c>
      <c r="Z158" s="51">
        <v>2.7799999999999999E-3</v>
      </c>
      <c r="AA158" s="51">
        <v>4.0000000000000001E-3</v>
      </c>
      <c r="AB158" s="43">
        <v>3.7500000000000311E-3</v>
      </c>
    </row>
    <row r="159" spans="1:28" x14ac:dyDescent="0.25">
      <c r="A159" s="22">
        <f t="shared" si="2"/>
        <v>0.54513888888888751</v>
      </c>
      <c r="V159" s="18">
        <v>3.0833333333333268E-3</v>
      </c>
      <c r="W159" s="88">
        <v>3.7499999999999999E-3</v>
      </c>
      <c r="X159" s="51">
        <v>3.0000000000000001E-3</v>
      </c>
      <c r="Y159" s="51">
        <v>4.8599999999999997E-3</v>
      </c>
      <c r="Z159" s="51">
        <v>2.7799999999999999E-3</v>
      </c>
      <c r="AA159" s="51">
        <v>4.0000000000000001E-3</v>
      </c>
      <c r="AB159" s="43">
        <v>3.6999999999999256E-3</v>
      </c>
    </row>
    <row r="160" spans="1:28" x14ac:dyDescent="0.25">
      <c r="A160" s="22">
        <f t="shared" si="2"/>
        <v>0.54861111111110972</v>
      </c>
      <c r="V160" s="18">
        <v>3.0833333333333268E-3</v>
      </c>
      <c r="W160" s="88">
        <v>3.7499999999999999E-3</v>
      </c>
      <c r="X160" s="51">
        <v>3.0000000000000001E-3</v>
      </c>
      <c r="Y160" s="51">
        <v>4.8599999999999997E-3</v>
      </c>
      <c r="Z160" s="51">
        <v>2.7799999999999999E-3</v>
      </c>
      <c r="AA160" s="51">
        <v>4.0000000000000001E-3</v>
      </c>
      <c r="AB160" s="43">
        <v>3.7000000000000366E-3</v>
      </c>
    </row>
    <row r="161" spans="1:28" x14ac:dyDescent="0.25">
      <c r="A161" s="22">
        <f t="shared" si="2"/>
        <v>0.55208333333333193</v>
      </c>
      <c r="V161" s="18">
        <v>3.0166666666666675E-3</v>
      </c>
      <c r="W161" s="88">
        <v>3.7499999999999999E-3</v>
      </c>
      <c r="X161" s="51">
        <v>3.0000000000000001E-3</v>
      </c>
      <c r="Y161" s="51">
        <v>6.94E-3</v>
      </c>
      <c r="Z161" s="51">
        <v>2.3600000000000001E-3</v>
      </c>
      <c r="AA161" s="51">
        <v>4.0000000000000001E-3</v>
      </c>
      <c r="AB161" s="43">
        <v>3.7000000000000366E-3</v>
      </c>
    </row>
    <row r="162" spans="1:28" x14ac:dyDescent="0.25">
      <c r="A162" s="22">
        <f t="shared" si="2"/>
        <v>0.55555555555555414</v>
      </c>
      <c r="V162" s="18">
        <v>2.9500000000000082E-3</v>
      </c>
      <c r="W162" s="88">
        <v>3.7499999999999999E-3</v>
      </c>
      <c r="X162" s="51">
        <v>3.0000000000000001E-3</v>
      </c>
      <c r="Y162" s="51">
        <v>8.3300000000000006E-3</v>
      </c>
      <c r="Z162" s="51">
        <v>2.0799999999999998E-3</v>
      </c>
      <c r="AA162" s="51">
        <v>4.0000000000000001E-3</v>
      </c>
      <c r="AB162" s="43">
        <v>3.6999999999999256E-3</v>
      </c>
    </row>
    <row r="163" spans="1:28" x14ac:dyDescent="0.25">
      <c r="A163" s="22">
        <f t="shared" si="2"/>
        <v>0.55902777777777635</v>
      </c>
      <c r="V163" s="18">
        <v>2.9166666666666785E-3</v>
      </c>
      <c r="W163" s="88">
        <v>3.7499999999999999E-3</v>
      </c>
      <c r="X163" s="51">
        <v>3.0000000000000001E-3</v>
      </c>
      <c r="Y163" s="51">
        <v>8.3300000000000006E-3</v>
      </c>
      <c r="Z163" s="51">
        <v>2.0799999999999998E-3</v>
      </c>
      <c r="AA163" s="51">
        <v>4.0000000000000001E-3</v>
      </c>
      <c r="AB163" s="43">
        <v>3.7000000000000366E-3</v>
      </c>
    </row>
    <row r="164" spans="1:28" x14ac:dyDescent="0.25">
      <c r="A164" s="22">
        <f t="shared" si="2"/>
        <v>0.56249999999999856</v>
      </c>
      <c r="V164" s="18">
        <v>2.9166666666666785E-3</v>
      </c>
      <c r="W164" s="88">
        <v>3.7499999999999999E-3</v>
      </c>
      <c r="X164" s="51">
        <v>3.0000000000000001E-3</v>
      </c>
      <c r="Y164" s="51">
        <v>8.3300000000000006E-3</v>
      </c>
      <c r="Z164" s="51">
        <v>2.0799999999999998E-3</v>
      </c>
      <c r="AA164" s="51">
        <v>4.0000000000000001E-3</v>
      </c>
      <c r="AB164" s="43">
        <v>3.7000000000000366E-3</v>
      </c>
    </row>
    <row r="165" spans="1:28" x14ac:dyDescent="0.25">
      <c r="A165" s="22">
        <f t="shared" si="2"/>
        <v>0.56597222222222077</v>
      </c>
      <c r="V165" s="18">
        <v>2.9166666666666785E-3</v>
      </c>
      <c r="W165" s="88">
        <v>3.7499999999999999E-3</v>
      </c>
      <c r="X165" s="51">
        <v>3.0000000000000001E-3</v>
      </c>
      <c r="Y165" s="51">
        <v>8.3300000000000006E-3</v>
      </c>
      <c r="Z165" s="51">
        <v>2.0799999999999998E-3</v>
      </c>
      <c r="AA165" s="51">
        <v>4.0000000000000001E-3</v>
      </c>
      <c r="AB165" s="43">
        <v>3.6500000000000421E-3</v>
      </c>
    </row>
    <row r="166" spans="1:28" x14ac:dyDescent="0.25">
      <c r="A166" s="22">
        <f t="shared" si="2"/>
        <v>0.56944444444444298</v>
      </c>
      <c r="V166" s="18">
        <v>2.8333333333333544E-3</v>
      </c>
      <c r="W166" s="88">
        <v>3.7499999999999999E-3</v>
      </c>
      <c r="X166" s="51">
        <v>3.0000000000000001E-3</v>
      </c>
      <c r="Y166" s="51">
        <v>8.3300000000000006E-3</v>
      </c>
      <c r="Z166" s="51">
        <v>2.0799999999999998E-3</v>
      </c>
      <c r="AA166" s="51">
        <v>4.0000000000000001E-3</v>
      </c>
      <c r="AB166" s="43">
        <v>3.6499999999999311E-3</v>
      </c>
    </row>
    <row r="167" spans="1:28" x14ac:dyDescent="0.25">
      <c r="A167" s="22">
        <f t="shared" si="2"/>
        <v>0.57291666666666519</v>
      </c>
      <c r="V167" s="18">
        <v>2.8333333333332433E-3</v>
      </c>
      <c r="W167" s="88">
        <v>3.7499999999999999E-3</v>
      </c>
      <c r="X167" s="51">
        <v>3.0000000000000001E-3</v>
      </c>
      <c r="Y167" s="51">
        <v>8.3300000000000006E-3</v>
      </c>
      <c r="Z167" s="51">
        <v>2.0799999999999998E-3</v>
      </c>
      <c r="AA167" s="51">
        <v>4.0000000000000001E-3</v>
      </c>
      <c r="AB167" s="43">
        <v>3.6499999999999311E-3</v>
      </c>
    </row>
    <row r="168" spans="1:28" x14ac:dyDescent="0.25">
      <c r="A168" s="22">
        <f t="shared" si="2"/>
        <v>0.5763888888888874</v>
      </c>
      <c r="V168" s="18">
        <v>2.7833333333333599E-3</v>
      </c>
      <c r="W168" s="88">
        <v>3.7499999999999999E-3</v>
      </c>
      <c r="X168" s="51">
        <v>3.0000000000000001E-3</v>
      </c>
      <c r="Y168" s="51">
        <v>8.3300000000000006E-3</v>
      </c>
      <c r="Z168" s="51">
        <v>2.0799999999999998E-3</v>
      </c>
      <c r="AA168" s="51">
        <v>4.0000000000000001E-3</v>
      </c>
      <c r="AB168" s="43">
        <v>3.6500000000000421E-3</v>
      </c>
    </row>
    <row r="169" spans="1:28" x14ac:dyDescent="0.25">
      <c r="A169" s="22">
        <f t="shared" si="2"/>
        <v>0.57986111111110961</v>
      </c>
      <c r="V169" s="18">
        <v>2.7833333333333599E-3</v>
      </c>
      <c r="W169" s="88">
        <v>3.7499999999999999E-3</v>
      </c>
      <c r="X169" s="51">
        <v>3.0000000000000001E-3</v>
      </c>
      <c r="Y169" s="51">
        <v>8.3300000000000006E-3</v>
      </c>
      <c r="Z169" s="51">
        <v>2.0799999999999998E-3</v>
      </c>
      <c r="AA169" s="51">
        <v>4.0000000000000001E-3</v>
      </c>
      <c r="AB169" s="43">
        <v>3.6500000000000421E-3</v>
      </c>
    </row>
    <row r="170" spans="1:28" x14ac:dyDescent="0.25">
      <c r="A170" s="22">
        <f t="shared" si="2"/>
        <v>0.58333333333333182</v>
      </c>
      <c r="V170" s="18">
        <v>2.8333333333332433E-3</v>
      </c>
      <c r="W170" s="88">
        <v>3.7499999999999999E-3</v>
      </c>
      <c r="X170" s="51">
        <v>3.0000000000000001E-3</v>
      </c>
      <c r="Y170" s="51">
        <v>8.3300000000000006E-3</v>
      </c>
      <c r="Z170" s="51">
        <v>2.0799999999999998E-3</v>
      </c>
      <c r="AA170" s="51">
        <v>4.0000000000000001E-3</v>
      </c>
      <c r="AB170" s="43">
        <v>3.6499999999999311E-3</v>
      </c>
    </row>
    <row r="171" spans="1:28" x14ac:dyDescent="0.25">
      <c r="A171" s="22">
        <f t="shared" si="2"/>
        <v>0.58680555555555403</v>
      </c>
      <c r="V171" s="18">
        <v>2.8333333333333544E-3</v>
      </c>
      <c r="W171" s="88">
        <v>2.5000000000000001E-3</v>
      </c>
      <c r="X171" s="51">
        <v>3.0000000000000001E-3</v>
      </c>
      <c r="Y171" s="51">
        <v>8.3300000000000006E-3</v>
      </c>
      <c r="Z171" s="51">
        <v>2.0799999999999998E-3</v>
      </c>
      <c r="AA171" s="51">
        <v>4.0000000000000001E-3</v>
      </c>
      <c r="AB171" s="43">
        <v>3.6000000000000476E-3</v>
      </c>
    </row>
    <row r="172" spans="1:28" x14ac:dyDescent="0.25">
      <c r="A172" s="22">
        <f t="shared" si="2"/>
        <v>0.59027777777777624</v>
      </c>
      <c r="V172" s="18">
        <v>2.8333333333333544E-3</v>
      </c>
      <c r="W172" s="88">
        <v>2.5000000000000001E-3</v>
      </c>
      <c r="X172" s="51">
        <v>3.0000000000000001E-3</v>
      </c>
      <c r="Y172" s="51">
        <v>8.3300000000000006E-3</v>
      </c>
      <c r="Z172" s="51">
        <v>2.0799999999999998E-3</v>
      </c>
      <c r="AA172" s="51">
        <v>4.0000000000000001E-3</v>
      </c>
      <c r="AB172" s="43">
        <v>3.5999999999999366E-3</v>
      </c>
    </row>
    <row r="173" spans="1:28" x14ac:dyDescent="0.25">
      <c r="A173" s="22">
        <f t="shared" si="2"/>
        <v>0.59374999999999845</v>
      </c>
      <c r="V173" s="18">
        <v>2.766666666666695E-3</v>
      </c>
      <c r="W173" s="88">
        <v>2.5000000000000001E-3</v>
      </c>
      <c r="X173" s="51">
        <v>3.0000000000000001E-3</v>
      </c>
      <c r="Y173" s="51">
        <v>8.3300000000000006E-3</v>
      </c>
      <c r="Z173" s="51">
        <v>2.0799999999999998E-3</v>
      </c>
      <c r="AA173" s="51">
        <v>4.0000000000000001E-3</v>
      </c>
      <c r="AB173" s="43">
        <v>3.6000000000000476E-3</v>
      </c>
    </row>
    <row r="174" spans="1:28" x14ac:dyDescent="0.25">
      <c r="A174" s="22">
        <f t="shared" si="2"/>
        <v>0.59722222222222066</v>
      </c>
      <c r="V174" s="18">
        <v>2.8000000000000247E-3</v>
      </c>
      <c r="W174" s="88">
        <v>2.5000000000000001E-3</v>
      </c>
      <c r="X174" s="51">
        <v>3.0000000000000001E-3</v>
      </c>
      <c r="Y174" s="51">
        <v>8.3300000000000006E-3</v>
      </c>
      <c r="Z174" s="51">
        <v>2.0799999999999998E-3</v>
      </c>
      <c r="AA174" s="51">
        <v>4.0000000000000001E-3</v>
      </c>
      <c r="AB174" s="43">
        <v>3.6000000000000476E-3</v>
      </c>
    </row>
    <row r="175" spans="1:28" x14ac:dyDescent="0.25">
      <c r="A175" s="22">
        <f t="shared" si="2"/>
        <v>0.60069444444444287</v>
      </c>
      <c r="V175" s="18">
        <v>2.8000000000000247E-3</v>
      </c>
      <c r="W175" s="88">
        <v>2.5000000000000001E-3</v>
      </c>
      <c r="X175" s="51">
        <v>3.0000000000000001E-3</v>
      </c>
      <c r="Y175" s="51">
        <v>8.4700000000000001E-3</v>
      </c>
      <c r="Z175" s="51">
        <v>2.2200000000000002E-3</v>
      </c>
      <c r="AA175" s="51">
        <v>4.0000000000000001E-3</v>
      </c>
      <c r="AB175" s="43">
        <v>3.5999999999999366E-3</v>
      </c>
    </row>
    <row r="176" spans="1:28" x14ac:dyDescent="0.25">
      <c r="A176" s="22">
        <f t="shared" si="2"/>
        <v>0.60416666666666508</v>
      </c>
      <c r="V176" s="18">
        <v>2.7499999999999192E-3</v>
      </c>
      <c r="W176" s="88">
        <v>2.5000000000000001E-3</v>
      </c>
      <c r="X176" s="51">
        <v>3.0000000000000001E-3</v>
      </c>
      <c r="Y176" s="51">
        <v>9.0299999999999998E-3</v>
      </c>
      <c r="Z176" s="51">
        <v>2.7799999999999999E-3</v>
      </c>
      <c r="AA176" s="51">
        <v>4.0000000000000001E-3</v>
      </c>
      <c r="AB176" s="43">
        <v>3.6000000000000476E-3</v>
      </c>
    </row>
    <row r="177" spans="1:28" x14ac:dyDescent="0.25">
      <c r="A177" s="22">
        <f t="shared" si="2"/>
        <v>0.60763888888888729</v>
      </c>
      <c r="V177" s="18">
        <v>2.7500000000000302E-3</v>
      </c>
      <c r="W177" s="88">
        <v>2.5000000000000001E-3</v>
      </c>
      <c r="X177" s="51">
        <v>3.0000000000000001E-3</v>
      </c>
      <c r="Y177" s="51">
        <v>9.0299999999999998E-3</v>
      </c>
      <c r="Z177" s="51">
        <v>2.7799999999999999E-3</v>
      </c>
      <c r="AA177" s="51">
        <v>4.0000000000000001E-3</v>
      </c>
      <c r="AB177" s="43">
        <v>3.5499999999999421E-3</v>
      </c>
    </row>
    <row r="178" spans="1:28" x14ac:dyDescent="0.25">
      <c r="A178" s="22">
        <f t="shared" si="2"/>
        <v>0.6111111111111095</v>
      </c>
      <c r="V178" s="18">
        <v>2.7500000000000302E-3</v>
      </c>
      <c r="W178" s="88">
        <v>2.5000000000000001E-3</v>
      </c>
      <c r="X178" s="51">
        <v>3.0000000000000001E-3</v>
      </c>
      <c r="Y178" s="51">
        <v>9.0299999999999998E-3</v>
      </c>
      <c r="Z178" s="51">
        <v>2.7799999999999999E-3</v>
      </c>
      <c r="AA178" s="51">
        <v>4.0000000000000001E-3</v>
      </c>
      <c r="AB178" s="43">
        <v>3.5500000000000531E-3</v>
      </c>
    </row>
    <row r="179" spans="1:28" x14ac:dyDescent="0.25">
      <c r="A179" s="22">
        <f t="shared" si="2"/>
        <v>0.61458333333333171</v>
      </c>
      <c r="V179" s="18">
        <v>2.7500000000000302E-3</v>
      </c>
      <c r="W179" s="88">
        <v>2.5000000000000001E-3</v>
      </c>
      <c r="X179" s="51">
        <v>3.0000000000000001E-3</v>
      </c>
      <c r="Y179" s="51">
        <v>9.0299999999999998E-3</v>
      </c>
      <c r="Z179" s="51">
        <v>2.7799999999999999E-3</v>
      </c>
      <c r="AA179" s="51">
        <v>4.0000000000000001E-3</v>
      </c>
      <c r="AB179" s="43">
        <v>3.5500000000000531E-3</v>
      </c>
    </row>
    <row r="180" spans="1:28" x14ac:dyDescent="0.25">
      <c r="A180" s="22">
        <f t="shared" si="2"/>
        <v>0.61805555555555391</v>
      </c>
      <c r="V180" s="18">
        <v>2.7500000000000302E-3</v>
      </c>
      <c r="W180" s="88">
        <v>2.5000000000000001E-3</v>
      </c>
      <c r="X180" s="51">
        <v>3.0000000000000001E-3</v>
      </c>
      <c r="Y180" s="51">
        <v>9.0299999999999998E-3</v>
      </c>
      <c r="Z180" s="51">
        <v>2.7799999999999999E-3</v>
      </c>
      <c r="AA180" s="51">
        <v>4.0000000000000001E-3</v>
      </c>
      <c r="AB180" s="43">
        <v>3.5499999999999421E-3</v>
      </c>
    </row>
    <row r="181" spans="1:28" x14ac:dyDescent="0.25">
      <c r="A181" s="22">
        <f t="shared" si="2"/>
        <v>0.62152777777777612</v>
      </c>
      <c r="V181" s="18">
        <v>2.7166666666665895E-3</v>
      </c>
      <c r="W181" s="88">
        <v>2.5000000000000001E-3</v>
      </c>
      <c r="X181" s="51">
        <v>3.0000000000000001E-3</v>
      </c>
      <c r="Y181" s="51">
        <v>9.0299999999999998E-3</v>
      </c>
      <c r="Z181" s="51">
        <v>2.7799999999999999E-3</v>
      </c>
      <c r="AA181" s="51">
        <v>4.0000000000000001E-3</v>
      </c>
      <c r="AB181" s="43">
        <v>3.5000000000000586E-3</v>
      </c>
    </row>
    <row r="182" spans="1:28" x14ac:dyDescent="0.25">
      <c r="A182" s="22">
        <f t="shared" si="2"/>
        <v>0.62499999999999833</v>
      </c>
      <c r="V182" s="18">
        <v>2.6833333333332599E-3</v>
      </c>
      <c r="W182" s="88">
        <v>2.5000000000000001E-3</v>
      </c>
      <c r="X182" s="51">
        <v>3.0000000000000001E-3</v>
      </c>
      <c r="Y182" s="51">
        <v>9.0299999999999998E-3</v>
      </c>
      <c r="Z182" s="51">
        <v>2.7799999999999999E-3</v>
      </c>
      <c r="AA182" s="51">
        <v>4.0000000000000001E-3</v>
      </c>
      <c r="AB182" s="43">
        <v>3.4999999999999476E-3</v>
      </c>
    </row>
    <row r="183" spans="1:28" x14ac:dyDescent="0.25">
      <c r="A183" s="22">
        <f t="shared" si="2"/>
        <v>0.62847222222222054</v>
      </c>
      <c r="V183" s="18">
        <v>2.7500000000000302E-3</v>
      </c>
      <c r="W183" s="88">
        <v>3.2499999999999999E-3</v>
      </c>
      <c r="X183" s="51">
        <v>3.0000000000000001E-3</v>
      </c>
      <c r="Y183" s="51">
        <v>9.0299999999999998E-3</v>
      </c>
      <c r="Z183" s="51">
        <v>2.7799999999999999E-3</v>
      </c>
      <c r="AA183" s="51">
        <v>4.0000000000000001E-3</v>
      </c>
      <c r="AB183" s="43">
        <v>3.4999999999999476E-3</v>
      </c>
    </row>
    <row r="184" spans="1:28" x14ac:dyDescent="0.25">
      <c r="A184" s="22">
        <f t="shared" si="2"/>
        <v>0.63194444444444275</v>
      </c>
      <c r="V184" s="18">
        <v>2.666666666666595E-3</v>
      </c>
      <c r="W184" s="88">
        <v>3.2499999999999999E-3</v>
      </c>
      <c r="X184" s="51">
        <v>3.0000000000000001E-3</v>
      </c>
      <c r="Y184" s="51">
        <v>9.0299999999999998E-3</v>
      </c>
      <c r="Z184" s="51">
        <v>2.7799999999999999E-3</v>
      </c>
      <c r="AA184" s="51">
        <v>4.0000000000000001E-3</v>
      </c>
      <c r="AB184" s="43">
        <v>3.5000000000000586E-3</v>
      </c>
    </row>
    <row r="185" spans="1:28" x14ac:dyDescent="0.25">
      <c r="A185" s="22">
        <f t="shared" si="2"/>
        <v>0.63541666666666496</v>
      </c>
      <c r="V185" s="18">
        <v>2.6666666666668171E-3</v>
      </c>
      <c r="W185" s="88">
        <v>3.2499999999999999E-3</v>
      </c>
      <c r="X185" s="51">
        <v>3.0000000000000001E-3</v>
      </c>
      <c r="Y185" s="51">
        <v>9.0299999999999998E-3</v>
      </c>
      <c r="Z185" s="51">
        <v>2.7799999999999999E-3</v>
      </c>
      <c r="AA185" s="51">
        <v>4.0000000000000001E-3</v>
      </c>
      <c r="AB185" s="43">
        <v>3.4499999999999531E-3</v>
      </c>
    </row>
    <row r="186" spans="1:28" x14ac:dyDescent="0.25">
      <c r="A186" s="22">
        <f t="shared" si="2"/>
        <v>0.63888888888888717</v>
      </c>
      <c r="V186" s="18">
        <v>2.666666666666595E-3</v>
      </c>
      <c r="W186" s="88">
        <v>3.2499999999999999E-3</v>
      </c>
      <c r="X186" s="51">
        <v>3.0000000000000001E-3</v>
      </c>
      <c r="Y186" s="51">
        <v>9.0299999999999998E-3</v>
      </c>
      <c r="Z186" s="51">
        <v>2.7799999999999999E-3</v>
      </c>
      <c r="AA186" s="51">
        <v>4.0000000000000001E-3</v>
      </c>
      <c r="AB186" s="43">
        <v>3.4500000000000641E-3</v>
      </c>
    </row>
    <row r="187" spans="1:28" x14ac:dyDescent="0.25">
      <c r="A187" s="22">
        <f t="shared" si="2"/>
        <v>0.64236111111110938</v>
      </c>
      <c r="V187" s="18">
        <v>2.666666666666706E-3</v>
      </c>
      <c r="W187" s="88">
        <v>3.2499999999999999E-3</v>
      </c>
      <c r="X187" s="51">
        <v>3.0000000000000001E-3</v>
      </c>
      <c r="Y187" s="51">
        <v>9.0299999999999998E-3</v>
      </c>
      <c r="Z187" s="51">
        <v>2.7799999999999999E-3</v>
      </c>
      <c r="AA187" s="51">
        <v>4.0000000000000001E-3</v>
      </c>
      <c r="AB187" s="43">
        <v>3.3999999999999586E-3</v>
      </c>
    </row>
    <row r="188" spans="1:28" x14ac:dyDescent="0.25">
      <c r="A188" s="22">
        <f t="shared" si="2"/>
        <v>0.64583333333333159</v>
      </c>
      <c r="V188" s="18">
        <v>2.666666666666706E-3</v>
      </c>
      <c r="W188" s="88">
        <v>3.2499999999999999E-3</v>
      </c>
      <c r="X188" s="51">
        <v>3.0000000000000001E-3</v>
      </c>
      <c r="Y188" s="51">
        <v>9.0299999999999998E-3</v>
      </c>
      <c r="Z188" s="51">
        <v>2.7799999999999999E-3</v>
      </c>
      <c r="AA188" s="51">
        <v>4.0000000000000001E-3</v>
      </c>
      <c r="AB188" s="43">
        <v>3.3999999999999586E-3</v>
      </c>
    </row>
    <row r="189" spans="1:28" x14ac:dyDescent="0.25">
      <c r="A189" s="22">
        <f t="shared" si="2"/>
        <v>0.6493055555555538</v>
      </c>
      <c r="V189" s="18">
        <v>2.666666666666595E-3</v>
      </c>
      <c r="W189" s="88">
        <v>3.2499999999999999E-3</v>
      </c>
      <c r="X189" s="51">
        <v>3.0000000000000001E-3</v>
      </c>
      <c r="Y189" s="51">
        <v>9.0299999999999998E-3</v>
      </c>
      <c r="Z189" s="51">
        <v>2.7799999999999999E-3</v>
      </c>
      <c r="AA189" s="51">
        <v>4.0000000000000001E-3</v>
      </c>
      <c r="AB189" s="43">
        <v>3.3500000000000751E-3</v>
      </c>
    </row>
    <row r="190" spans="1:28" x14ac:dyDescent="0.25">
      <c r="A190" s="22">
        <f t="shared" si="2"/>
        <v>0.65277777777777601</v>
      </c>
      <c r="V190" s="18">
        <v>2.5833333333333819E-3</v>
      </c>
      <c r="W190" s="88">
        <v>3.2499999999999999E-3</v>
      </c>
      <c r="X190" s="51">
        <v>3.0000000000000001E-3</v>
      </c>
      <c r="Y190" s="51">
        <v>6.8100000000000001E-3</v>
      </c>
      <c r="Z190" s="51">
        <v>3.8899999999999998E-3</v>
      </c>
      <c r="AA190" s="51">
        <v>4.0000000000000001E-3</v>
      </c>
      <c r="AB190" s="43">
        <v>3.3499999999999641E-3</v>
      </c>
    </row>
    <row r="191" spans="1:28" x14ac:dyDescent="0.25">
      <c r="A191" s="22">
        <f t="shared" si="2"/>
        <v>0.65624999999999822</v>
      </c>
      <c r="V191" s="18">
        <v>2.5833333333332709E-3</v>
      </c>
      <c r="W191" s="88">
        <v>3.2499999999999999E-3</v>
      </c>
      <c r="X191" s="51">
        <v>3.0000000000000001E-3</v>
      </c>
      <c r="Y191" s="51">
        <v>6.2500000000000003E-3</v>
      </c>
      <c r="Z191" s="51">
        <v>4.1700000000000001E-3</v>
      </c>
      <c r="AA191" s="51">
        <v>4.0000000000000001E-3</v>
      </c>
      <c r="AB191" s="43">
        <v>3.3000000000000806E-3</v>
      </c>
    </row>
    <row r="192" spans="1:28" x14ac:dyDescent="0.25">
      <c r="A192" s="22">
        <f t="shared" si="2"/>
        <v>0.65972222222222043</v>
      </c>
      <c r="V192" s="18">
        <v>2.6333333333333764E-3</v>
      </c>
      <c r="W192" s="88">
        <v>3.2499999999999999E-3</v>
      </c>
      <c r="X192" s="51">
        <v>3.0000000000000001E-3</v>
      </c>
      <c r="Y192" s="51">
        <v>6.2500000000000003E-3</v>
      </c>
      <c r="Z192" s="51">
        <v>4.1700000000000001E-3</v>
      </c>
      <c r="AA192" s="51">
        <v>4.0000000000000001E-3</v>
      </c>
      <c r="AB192" s="43">
        <v>3.2999999999999696E-3</v>
      </c>
    </row>
    <row r="193" spans="1:28" x14ac:dyDescent="0.25">
      <c r="A193" s="22">
        <f t="shared" si="2"/>
        <v>0.66319444444444264</v>
      </c>
      <c r="V193" s="18">
        <v>2.6333333333333764E-3</v>
      </c>
      <c r="W193" s="88">
        <v>3.2499999999999999E-3</v>
      </c>
      <c r="X193" s="51">
        <v>3.0000000000000001E-3</v>
      </c>
      <c r="Y193" s="51">
        <v>6.2500000000000003E-3</v>
      </c>
      <c r="Z193" s="51">
        <v>4.1700000000000001E-3</v>
      </c>
      <c r="AA193" s="51">
        <v>4.0000000000000001E-3</v>
      </c>
      <c r="AB193" s="43">
        <v>3.2499999999999751E-3</v>
      </c>
    </row>
    <row r="194" spans="1:28" x14ac:dyDescent="0.25">
      <c r="A194" s="22">
        <f t="shared" si="2"/>
        <v>0.66666666666666485</v>
      </c>
      <c r="V194" s="18">
        <v>2.5833333333332709E-3</v>
      </c>
      <c r="W194" s="88">
        <v>3.2499999999999999E-3</v>
      </c>
      <c r="X194" s="51">
        <v>3.0000000000000001E-3</v>
      </c>
      <c r="Y194" s="51">
        <v>6.2500000000000003E-3</v>
      </c>
      <c r="Z194" s="51">
        <v>4.1700000000000001E-3</v>
      </c>
      <c r="AA194" s="51">
        <v>4.0000000000000001E-3</v>
      </c>
      <c r="AB194" s="43">
        <v>3.2499999999999751E-3</v>
      </c>
    </row>
    <row r="195" spans="1:28" x14ac:dyDescent="0.25">
      <c r="A195" s="22">
        <f t="shared" si="2"/>
        <v>0.67013888888888706</v>
      </c>
      <c r="V195" s="18">
        <v>2.5833333333333819E-3</v>
      </c>
      <c r="W195" s="88">
        <v>2.5000000000000001E-3</v>
      </c>
      <c r="X195" s="51">
        <v>3.0000000000000001E-3</v>
      </c>
      <c r="Y195" s="51">
        <v>6.2500000000000003E-3</v>
      </c>
      <c r="Z195" s="51">
        <v>4.1700000000000001E-3</v>
      </c>
      <c r="AA195" s="51">
        <v>4.0000000000000001E-3</v>
      </c>
      <c r="AB195" s="43">
        <v>3.1999999999999806E-3</v>
      </c>
    </row>
    <row r="196" spans="1:28" x14ac:dyDescent="0.25">
      <c r="A196" s="22">
        <f t="shared" ref="A196:A259" si="3">A195+TIME(0,5,0)</f>
        <v>0.67361111111110927</v>
      </c>
      <c r="V196" s="18">
        <v>2.4999999999999467E-3</v>
      </c>
      <c r="W196" s="88">
        <v>2.5000000000000001E-3</v>
      </c>
      <c r="X196" s="51">
        <v>2E-3</v>
      </c>
      <c r="Y196" s="51">
        <v>6.2500000000000003E-3</v>
      </c>
      <c r="Z196" s="51">
        <v>4.1700000000000001E-3</v>
      </c>
      <c r="AA196" s="51">
        <v>4.0000000000000001E-3</v>
      </c>
      <c r="AB196" s="43">
        <v>3.1999999999999806E-3</v>
      </c>
    </row>
    <row r="197" spans="1:28" x14ac:dyDescent="0.25">
      <c r="A197" s="22">
        <f t="shared" si="3"/>
        <v>0.67708333333333148</v>
      </c>
      <c r="V197" s="18">
        <v>2.5666666666667171E-3</v>
      </c>
      <c r="W197" s="88">
        <v>2.5000000000000001E-3</v>
      </c>
      <c r="X197" s="51">
        <v>3.0000000000000001E-3</v>
      </c>
      <c r="Y197" s="51">
        <v>6.2500000000000003E-3</v>
      </c>
      <c r="Z197" s="51">
        <v>4.1700000000000001E-3</v>
      </c>
      <c r="AA197" s="51">
        <v>4.0000000000000001E-3</v>
      </c>
      <c r="AB197" s="43">
        <v>3.1500000000000972E-3</v>
      </c>
    </row>
    <row r="198" spans="1:28" x14ac:dyDescent="0.25">
      <c r="A198" s="22">
        <f t="shared" si="3"/>
        <v>0.68055555555555369</v>
      </c>
      <c r="V198" s="18">
        <v>2.5333333333333874E-3</v>
      </c>
      <c r="W198" s="88">
        <v>2.5000000000000001E-3</v>
      </c>
      <c r="X198" s="51">
        <v>3.0000000000000001E-3</v>
      </c>
      <c r="Y198" s="51">
        <v>6.2500000000000003E-3</v>
      </c>
      <c r="Z198" s="51">
        <v>4.1700000000000001E-3</v>
      </c>
      <c r="AA198" s="51">
        <v>4.0000000000000001E-3</v>
      </c>
      <c r="AB198" s="43">
        <v>3.1499999999999861E-3</v>
      </c>
    </row>
    <row r="199" spans="1:28" x14ac:dyDescent="0.25">
      <c r="A199" s="22">
        <f t="shared" si="3"/>
        <v>0.6840277777777759</v>
      </c>
      <c r="V199" s="18">
        <v>2.5333333333332764E-3</v>
      </c>
      <c r="W199" s="88">
        <v>2.5000000000000001E-3</v>
      </c>
      <c r="X199" s="51">
        <v>3.0000000000000001E-3</v>
      </c>
      <c r="Y199" s="51">
        <v>6.2500000000000003E-3</v>
      </c>
      <c r="Z199" s="51">
        <v>4.1700000000000001E-3</v>
      </c>
      <c r="AA199" s="51">
        <v>4.0000000000000001E-3</v>
      </c>
      <c r="AB199" s="43">
        <v>3.0999999999999917E-3</v>
      </c>
    </row>
    <row r="200" spans="1:28" x14ac:dyDescent="0.25">
      <c r="A200" s="22">
        <f t="shared" si="3"/>
        <v>0.68749999999999811</v>
      </c>
      <c r="V200" s="18">
        <v>2.566666666666606E-3</v>
      </c>
      <c r="W200" s="88">
        <v>2.5000000000000001E-3</v>
      </c>
      <c r="X200" s="51">
        <v>3.0000000000000001E-3</v>
      </c>
      <c r="Y200" s="51">
        <v>6.2500000000000003E-3</v>
      </c>
      <c r="Z200" s="51">
        <v>4.1700000000000001E-3</v>
      </c>
      <c r="AA200" s="51">
        <v>4.0000000000000001E-3</v>
      </c>
      <c r="AB200" s="43">
        <v>3.0999999999999917E-3</v>
      </c>
    </row>
    <row r="201" spans="1:28" x14ac:dyDescent="0.25">
      <c r="A201" s="22">
        <f t="shared" si="3"/>
        <v>0.69097222222222032</v>
      </c>
      <c r="V201" s="18">
        <v>2.5000000000000577E-3</v>
      </c>
      <c r="W201" s="88">
        <v>2.5000000000000001E-3</v>
      </c>
      <c r="X201" s="51">
        <v>3.0000000000000001E-3</v>
      </c>
      <c r="Y201" s="51">
        <v>6.2500000000000003E-3</v>
      </c>
      <c r="Z201" s="51">
        <v>4.1700000000000001E-3</v>
      </c>
      <c r="AA201" s="51">
        <v>4.0000000000000001E-3</v>
      </c>
      <c r="AB201" s="43">
        <v>3.0000000000000027E-3</v>
      </c>
    </row>
    <row r="202" spans="1:28" x14ac:dyDescent="0.25">
      <c r="A202" s="22">
        <f t="shared" si="3"/>
        <v>0.69444444444444253</v>
      </c>
      <c r="V202" s="18">
        <v>2.5000000000000577E-3</v>
      </c>
      <c r="W202" s="88">
        <v>2.5000000000000001E-3</v>
      </c>
      <c r="X202" s="51">
        <v>3.0000000000000001E-3</v>
      </c>
      <c r="Y202" s="51">
        <v>6.2500000000000003E-3</v>
      </c>
      <c r="Z202" s="51">
        <v>4.1700000000000001E-3</v>
      </c>
      <c r="AA202" s="51">
        <v>4.0000000000000001E-3</v>
      </c>
      <c r="AB202" s="43">
        <v>3.0000000000000027E-3</v>
      </c>
    </row>
    <row r="203" spans="1:28" x14ac:dyDescent="0.25">
      <c r="A203" s="22">
        <f t="shared" si="3"/>
        <v>0.69791666666666474</v>
      </c>
      <c r="V203" s="18">
        <v>2.4333333333332874E-3</v>
      </c>
      <c r="W203" s="88">
        <v>2.5000000000000001E-3</v>
      </c>
      <c r="X203" s="51">
        <v>2E-3</v>
      </c>
      <c r="Y203" s="51">
        <v>6.2500000000000003E-3</v>
      </c>
      <c r="Z203" s="51">
        <v>4.1700000000000001E-3</v>
      </c>
      <c r="AA203" s="51">
        <v>4.0000000000000001E-3</v>
      </c>
      <c r="AB203" s="43">
        <v>2.9500000000000082E-3</v>
      </c>
    </row>
    <row r="204" spans="1:28" x14ac:dyDescent="0.25">
      <c r="A204" s="22">
        <f t="shared" si="3"/>
        <v>0.70138888888888695</v>
      </c>
      <c r="V204" s="18">
        <v>2.466666666666617E-3</v>
      </c>
      <c r="W204" s="88">
        <v>2.5000000000000001E-3</v>
      </c>
      <c r="X204" s="51">
        <v>2E-3</v>
      </c>
      <c r="Y204" s="51">
        <v>5.4200000000000003E-3</v>
      </c>
      <c r="Z204" s="51">
        <v>4.1700000000000001E-3</v>
      </c>
      <c r="AA204" s="51">
        <v>4.0000000000000001E-3</v>
      </c>
      <c r="AB204" s="43">
        <v>2.9500000000000082E-3</v>
      </c>
    </row>
    <row r="205" spans="1:28" x14ac:dyDescent="0.25">
      <c r="A205" s="22">
        <f t="shared" si="3"/>
        <v>0.70486111111110916</v>
      </c>
      <c r="V205" s="18">
        <v>2.5000000000000577E-3</v>
      </c>
      <c r="W205" s="88">
        <v>2.5000000000000001E-3</v>
      </c>
      <c r="X205" s="51">
        <v>3.0000000000000001E-3</v>
      </c>
      <c r="Y205" s="51">
        <v>4.1700000000000001E-3</v>
      </c>
      <c r="Z205" s="51">
        <v>4.1700000000000001E-3</v>
      </c>
      <c r="AA205" s="51">
        <v>4.0000000000000001E-3</v>
      </c>
      <c r="AB205" s="43">
        <v>2.9500000000000082E-3</v>
      </c>
    </row>
    <row r="206" spans="1:28" x14ac:dyDescent="0.25">
      <c r="A206" s="22">
        <f t="shared" si="3"/>
        <v>0.70833333333333137</v>
      </c>
      <c r="V206" s="18">
        <v>2.4833333333332819E-3</v>
      </c>
      <c r="W206" s="88">
        <v>2.5000000000000001E-3</v>
      </c>
      <c r="X206" s="51">
        <v>2E-3</v>
      </c>
      <c r="Y206" s="51">
        <v>4.1700000000000001E-3</v>
      </c>
      <c r="Z206" s="51">
        <v>4.1700000000000001E-3</v>
      </c>
      <c r="AA206" s="51">
        <v>4.0000000000000001E-3</v>
      </c>
      <c r="AB206" s="43">
        <v>2.9499999999998971E-3</v>
      </c>
    </row>
    <row r="207" spans="1:28" x14ac:dyDescent="0.25">
      <c r="A207" s="22">
        <f t="shared" si="3"/>
        <v>0.71180555555555358</v>
      </c>
      <c r="V207" s="18">
        <v>2.4166666666666226E-3</v>
      </c>
      <c r="W207" s="88">
        <v>2E-3</v>
      </c>
      <c r="X207" s="51">
        <v>2E-3</v>
      </c>
      <c r="Y207" s="51">
        <v>4.1700000000000001E-3</v>
      </c>
      <c r="Z207" s="51">
        <v>4.1700000000000001E-3</v>
      </c>
      <c r="AA207" s="51">
        <v>4.0000000000000001E-3</v>
      </c>
      <c r="AB207" s="43">
        <v>2.9000000000000137E-3</v>
      </c>
    </row>
    <row r="208" spans="1:28" x14ac:dyDescent="0.25">
      <c r="A208" s="22">
        <f t="shared" si="3"/>
        <v>0.71527777777777579</v>
      </c>
      <c r="V208" s="18">
        <v>2.4166666666666226E-3</v>
      </c>
      <c r="W208" s="88">
        <v>2E-3</v>
      </c>
      <c r="X208" s="51">
        <v>2E-3</v>
      </c>
      <c r="Y208" s="51">
        <v>4.1700000000000001E-3</v>
      </c>
      <c r="Z208" s="51">
        <v>4.1700000000000001E-3</v>
      </c>
      <c r="AA208" s="51">
        <v>4.0000000000000001E-3</v>
      </c>
      <c r="AB208" s="43">
        <v>2.9000000000000137E-3</v>
      </c>
    </row>
    <row r="209" spans="1:28" x14ac:dyDescent="0.25">
      <c r="A209" s="22">
        <f t="shared" si="3"/>
        <v>0.718749999999998</v>
      </c>
      <c r="V209" s="18">
        <v>2.4166666666667336E-3</v>
      </c>
      <c r="W209" s="88">
        <v>2E-3</v>
      </c>
      <c r="X209" s="51">
        <v>2E-3</v>
      </c>
      <c r="Y209" s="51">
        <v>4.1700000000000001E-3</v>
      </c>
      <c r="Z209" s="51">
        <v>4.1700000000000001E-3</v>
      </c>
      <c r="AA209" s="51">
        <v>4.0000000000000001E-3</v>
      </c>
      <c r="AB209" s="43">
        <v>2.8500000000000192E-3</v>
      </c>
    </row>
    <row r="210" spans="1:28" x14ac:dyDescent="0.25">
      <c r="A210" s="22">
        <f t="shared" si="3"/>
        <v>0.72222222222222021</v>
      </c>
      <c r="V210" s="18">
        <v>2.4166666666667336E-3</v>
      </c>
      <c r="W210" s="88">
        <v>2E-3</v>
      </c>
      <c r="X210" s="51">
        <v>2E-3</v>
      </c>
      <c r="Y210" s="51">
        <v>4.1700000000000001E-3</v>
      </c>
      <c r="Z210" s="51">
        <v>4.1700000000000001E-3</v>
      </c>
      <c r="AA210" s="51">
        <v>4.0000000000000001E-3</v>
      </c>
      <c r="AB210" s="43">
        <v>2.8500000000000192E-3</v>
      </c>
    </row>
    <row r="211" spans="1:28" x14ac:dyDescent="0.25">
      <c r="A211" s="22">
        <f t="shared" si="3"/>
        <v>0.72569444444444242</v>
      </c>
      <c r="V211" s="18">
        <v>2.4166666666666226E-3</v>
      </c>
      <c r="W211" s="88">
        <v>2E-3</v>
      </c>
      <c r="X211" s="51">
        <v>2E-3</v>
      </c>
      <c r="Y211" s="51">
        <v>4.1700000000000001E-3</v>
      </c>
      <c r="Z211" s="51">
        <v>4.1700000000000001E-3</v>
      </c>
      <c r="AA211" s="51">
        <v>4.0000000000000001E-3</v>
      </c>
      <c r="AB211" s="43">
        <v>2.8000000000000247E-3</v>
      </c>
    </row>
    <row r="212" spans="1:28" x14ac:dyDescent="0.25">
      <c r="A212" s="22">
        <f t="shared" si="3"/>
        <v>0.72916666666666463</v>
      </c>
      <c r="V212" s="18">
        <v>2.4166666666666226E-3</v>
      </c>
      <c r="W212" s="88">
        <v>2E-3</v>
      </c>
      <c r="X212" s="51">
        <v>2E-3</v>
      </c>
      <c r="Y212" s="51">
        <v>4.1700000000000001E-3</v>
      </c>
      <c r="Z212" s="51">
        <v>4.1700000000000001E-3</v>
      </c>
      <c r="AA212" s="51">
        <v>4.0000000000000001E-3</v>
      </c>
      <c r="AB212" s="43">
        <v>2.7999999999999137E-3</v>
      </c>
    </row>
    <row r="213" spans="1:28" x14ac:dyDescent="0.25">
      <c r="A213" s="22">
        <f t="shared" si="3"/>
        <v>0.73263888888888684</v>
      </c>
      <c r="V213" s="18">
        <v>2.4166666666667336E-3</v>
      </c>
      <c r="W213" s="88">
        <v>2E-3</v>
      </c>
      <c r="X213" s="51">
        <v>2E-3</v>
      </c>
      <c r="Y213" s="51">
        <v>4.1700000000000001E-3</v>
      </c>
      <c r="Z213" s="51">
        <v>4.1700000000000001E-3</v>
      </c>
      <c r="AA213" s="51">
        <v>4.0000000000000001E-3</v>
      </c>
      <c r="AB213" s="43">
        <v>2.7500000000000302E-3</v>
      </c>
    </row>
    <row r="214" spans="1:28" x14ac:dyDescent="0.25">
      <c r="A214" s="22">
        <f t="shared" si="3"/>
        <v>0.73611111111110905</v>
      </c>
      <c r="V214" s="18">
        <v>2.3333333333332984E-3</v>
      </c>
      <c r="W214" s="88">
        <v>2E-3</v>
      </c>
      <c r="X214" s="51">
        <v>2E-3</v>
      </c>
      <c r="Y214" s="51">
        <v>4.1700000000000001E-3</v>
      </c>
      <c r="Z214" s="51">
        <v>4.1700000000000001E-3</v>
      </c>
      <c r="AA214" s="51">
        <v>4.0000000000000001E-3</v>
      </c>
      <c r="AB214" s="43">
        <v>2.7500000000000302E-3</v>
      </c>
    </row>
    <row r="215" spans="1:28" x14ac:dyDescent="0.25">
      <c r="A215" s="22">
        <f t="shared" si="3"/>
        <v>0.73958333333333126</v>
      </c>
      <c r="V215" s="18">
        <v>2.3333333333332984E-3</v>
      </c>
      <c r="W215" s="88">
        <v>2E-3</v>
      </c>
      <c r="X215" s="51">
        <v>2E-3</v>
      </c>
      <c r="Y215" s="51">
        <v>4.1700000000000001E-3</v>
      </c>
      <c r="Z215" s="51">
        <v>4.1700000000000001E-3</v>
      </c>
      <c r="AA215" s="51">
        <v>4.0000000000000001E-3</v>
      </c>
      <c r="AB215" s="43">
        <v>2.7500000000000302E-3</v>
      </c>
    </row>
    <row r="216" spans="1:28" x14ac:dyDescent="0.25">
      <c r="A216" s="22">
        <f t="shared" si="3"/>
        <v>0.74305555555555347</v>
      </c>
      <c r="V216" s="18">
        <v>2.3333333333332984E-3</v>
      </c>
      <c r="W216" s="88">
        <v>2E-3</v>
      </c>
      <c r="X216" s="51">
        <v>2E-3</v>
      </c>
      <c r="Y216" s="51">
        <v>4.1700000000000001E-3</v>
      </c>
      <c r="Z216" s="51">
        <v>4.1700000000000001E-3</v>
      </c>
      <c r="AA216" s="51">
        <v>4.0000000000000001E-3</v>
      </c>
      <c r="AB216" s="43">
        <v>2.7499999999999192E-3</v>
      </c>
    </row>
    <row r="217" spans="1:28" x14ac:dyDescent="0.25">
      <c r="A217" s="22">
        <f t="shared" si="3"/>
        <v>0.74652777777777568</v>
      </c>
      <c r="V217" s="18">
        <v>2.3333333333334094E-3</v>
      </c>
      <c r="W217" s="88">
        <v>2E-3</v>
      </c>
      <c r="X217" s="51">
        <v>2E-3</v>
      </c>
      <c r="Y217" s="51">
        <v>4.1700000000000001E-3</v>
      </c>
      <c r="Z217" s="51">
        <v>4.1700000000000001E-3</v>
      </c>
      <c r="AA217" s="51">
        <v>4.0000000000000001E-3</v>
      </c>
      <c r="AB217" s="43">
        <v>2.7500000000000302E-3</v>
      </c>
    </row>
    <row r="218" spans="1:28" x14ac:dyDescent="0.25">
      <c r="A218" s="22">
        <f t="shared" si="3"/>
        <v>0.74999999999999789</v>
      </c>
      <c r="V218" s="18">
        <v>2.3333333333334094E-3</v>
      </c>
      <c r="W218" s="88">
        <v>2E-3</v>
      </c>
      <c r="X218" s="51">
        <v>2E-3</v>
      </c>
      <c r="Y218" s="51">
        <v>4.1700000000000001E-3</v>
      </c>
      <c r="Z218" s="51">
        <v>4.1700000000000001E-3</v>
      </c>
      <c r="AA218" s="51">
        <v>4.0000000000000001E-3</v>
      </c>
      <c r="AB218" s="43">
        <v>2.7500000000000302E-3</v>
      </c>
    </row>
    <row r="219" spans="1:28" x14ac:dyDescent="0.25">
      <c r="A219" s="22">
        <f t="shared" si="3"/>
        <v>0.7534722222222201</v>
      </c>
      <c r="V219" s="18">
        <v>2.3333333333332984E-3</v>
      </c>
      <c r="W219" s="88">
        <v>1.75E-3</v>
      </c>
      <c r="X219" s="51">
        <v>2E-3</v>
      </c>
      <c r="Y219" s="51">
        <v>2.7799999999999999E-3</v>
      </c>
      <c r="Z219" s="51">
        <v>5.5599999999999998E-3</v>
      </c>
      <c r="AA219" s="51">
        <v>3.0000000000000001E-3</v>
      </c>
      <c r="AB219" s="43">
        <v>2.7499999999999192E-3</v>
      </c>
    </row>
    <row r="220" spans="1:28" x14ac:dyDescent="0.25">
      <c r="A220" s="22">
        <f t="shared" si="3"/>
        <v>0.75694444444444231</v>
      </c>
      <c r="V220" s="18">
        <v>2.3333333333332984E-3</v>
      </c>
      <c r="W220" s="88">
        <v>1.75E-3</v>
      </c>
      <c r="X220" s="51">
        <v>2E-3</v>
      </c>
      <c r="Y220" s="51">
        <v>2.7799999999999999E-3</v>
      </c>
      <c r="Z220" s="51">
        <v>5.5599999999999998E-3</v>
      </c>
      <c r="AA220" s="51">
        <v>3.0000000000000001E-3</v>
      </c>
      <c r="AB220" s="43">
        <v>2.7500000000000302E-3</v>
      </c>
    </row>
    <row r="221" spans="1:28" x14ac:dyDescent="0.25">
      <c r="A221" s="22">
        <f t="shared" si="3"/>
        <v>0.76041666666666452</v>
      </c>
      <c r="V221" s="18">
        <v>2.2666666666666391E-3</v>
      </c>
      <c r="W221" s="88">
        <v>1.75E-3</v>
      </c>
      <c r="X221" s="51">
        <v>2E-3</v>
      </c>
      <c r="Y221" s="51">
        <v>2.7799999999999999E-3</v>
      </c>
      <c r="Z221" s="51">
        <v>5.5599999999999998E-3</v>
      </c>
      <c r="AA221" s="51">
        <v>3.0000000000000001E-3</v>
      </c>
      <c r="AB221" s="43">
        <v>2.7000000000000357E-3</v>
      </c>
    </row>
    <row r="222" spans="1:28" x14ac:dyDescent="0.25">
      <c r="A222" s="22">
        <f t="shared" si="3"/>
        <v>0.76388888888888673</v>
      </c>
      <c r="V222" s="18">
        <v>2.2999999999999687E-3</v>
      </c>
      <c r="W222" s="88">
        <v>1.75E-3</v>
      </c>
      <c r="X222" s="51">
        <v>2E-3</v>
      </c>
      <c r="Y222" s="51">
        <v>2.7799999999999999E-3</v>
      </c>
      <c r="Z222" s="51">
        <v>5.5599999999999998E-3</v>
      </c>
      <c r="AA222" s="51">
        <v>3.0000000000000001E-3</v>
      </c>
      <c r="AB222" s="43">
        <v>2.7000000000000357E-3</v>
      </c>
    </row>
    <row r="223" spans="1:28" x14ac:dyDescent="0.25">
      <c r="A223" s="22">
        <f t="shared" si="3"/>
        <v>0.76736111111110894</v>
      </c>
      <c r="V223" s="18">
        <v>2.3000000000000798E-3</v>
      </c>
      <c r="W223" s="88">
        <v>1.75E-3</v>
      </c>
      <c r="X223" s="51">
        <v>2E-3</v>
      </c>
      <c r="Y223" s="51">
        <v>2.7799999999999999E-3</v>
      </c>
      <c r="Z223" s="51">
        <v>5.5599999999999998E-3</v>
      </c>
      <c r="AA223" s="51">
        <v>3.0000000000000001E-3</v>
      </c>
      <c r="AB223" s="43">
        <v>2.6999999999999247E-3</v>
      </c>
    </row>
    <row r="224" spans="1:28" x14ac:dyDescent="0.25">
      <c r="A224" s="22">
        <f t="shared" si="3"/>
        <v>0.77083333333333115</v>
      </c>
      <c r="V224" s="18">
        <v>2.2499999999999742E-3</v>
      </c>
      <c r="W224" s="88">
        <v>1.75E-3</v>
      </c>
      <c r="X224" s="51">
        <v>2E-3</v>
      </c>
      <c r="Y224" s="51">
        <v>2.7799999999999999E-3</v>
      </c>
      <c r="Z224" s="51">
        <v>5.5599999999999998E-3</v>
      </c>
      <c r="AA224" s="51">
        <v>3.0000000000000001E-3</v>
      </c>
      <c r="AB224" s="43">
        <v>2.7000000000000357E-3</v>
      </c>
    </row>
    <row r="225" spans="1:28" x14ac:dyDescent="0.25">
      <c r="A225" s="22">
        <f t="shared" si="3"/>
        <v>0.77430555555555336</v>
      </c>
      <c r="V225" s="18">
        <v>2.2499999999999742E-3</v>
      </c>
      <c r="W225" s="88">
        <v>1.75E-3</v>
      </c>
      <c r="X225" s="51">
        <v>2E-3</v>
      </c>
      <c r="Y225" s="51">
        <v>2.7799999999999999E-3</v>
      </c>
      <c r="Z225" s="51">
        <v>5.5599999999999998E-3</v>
      </c>
      <c r="AA225" s="51">
        <v>3.0000000000000001E-3</v>
      </c>
      <c r="AB225" s="43">
        <v>2.7000000000000357E-3</v>
      </c>
    </row>
    <row r="226" spans="1:28" x14ac:dyDescent="0.25">
      <c r="A226" s="22">
        <f t="shared" si="3"/>
        <v>0.77777777777777557</v>
      </c>
      <c r="V226" s="18">
        <v>2.2499999999999742E-3</v>
      </c>
      <c r="W226" s="88">
        <v>1.75E-3</v>
      </c>
      <c r="X226" s="51">
        <v>2E-3</v>
      </c>
      <c r="Y226" s="51">
        <v>2.7799999999999999E-3</v>
      </c>
      <c r="Z226" s="51">
        <v>5.5599999999999998E-3</v>
      </c>
      <c r="AA226" s="51">
        <v>3.0000000000000001E-3</v>
      </c>
      <c r="AB226" s="43">
        <v>2.6999999999999247E-3</v>
      </c>
    </row>
    <row r="227" spans="1:28" x14ac:dyDescent="0.25">
      <c r="A227" s="22">
        <f t="shared" si="3"/>
        <v>0.78124999999999778</v>
      </c>
      <c r="V227" s="18">
        <v>2.2500000000000853E-3</v>
      </c>
      <c r="W227" s="88">
        <v>1.75E-3</v>
      </c>
      <c r="X227" s="51">
        <v>2E-3</v>
      </c>
      <c r="Y227" s="51">
        <v>2.7799999999999999E-3</v>
      </c>
      <c r="Z227" s="51">
        <v>5.5599999999999998E-3</v>
      </c>
      <c r="AA227" s="51">
        <v>3.0000000000000001E-3</v>
      </c>
      <c r="AB227" s="43">
        <v>2.6500000000000412E-3</v>
      </c>
    </row>
    <row r="228" spans="1:28" x14ac:dyDescent="0.25">
      <c r="A228" s="22">
        <f t="shared" si="3"/>
        <v>0.78472222222221999</v>
      </c>
      <c r="V228" s="18">
        <v>2.2499999999999742E-3</v>
      </c>
      <c r="W228" s="88">
        <v>1.75E-3</v>
      </c>
      <c r="X228" s="51">
        <v>2E-3</v>
      </c>
      <c r="Y228" s="51">
        <v>2.7799999999999999E-3</v>
      </c>
      <c r="Z228" s="51">
        <v>5.5599999999999998E-3</v>
      </c>
      <c r="AA228" s="51">
        <v>3.0000000000000001E-3</v>
      </c>
      <c r="AB228" s="43">
        <v>2.6499999999999302E-3</v>
      </c>
    </row>
    <row r="229" spans="1:28" x14ac:dyDescent="0.25">
      <c r="A229" s="22">
        <f t="shared" si="3"/>
        <v>0.7881944444444422</v>
      </c>
      <c r="V229" s="18">
        <v>2.2166666666666446E-3</v>
      </c>
      <c r="W229" s="88">
        <v>1.75E-3</v>
      </c>
      <c r="X229" s="51">
        <v>2E-3</v>
      </c>
      <c r="Y229" s="51">
        <v>2.7799999999999999E-3</v>
      </c>
      <c r="Z229" s="51">
        <v>5.5599999999999998E-3</v>
      </c>
      <c r="AA229" s="51">
        <v>3.0000000000000001E-3</v>
      </c>
      <c r="AB229" s="43">
        <v>2.6500000000000412E-3</v>
      </c>
    </row>
    <row r="230" spans="1:28" x14ac:dyDescent="0.25">
      <c r="A230" s="22">
        <f t="shared" si="3"/>
        <v>0.79166666666666441</v>
      </c>
      <c r="V230" s="18">
        <v>2.1666666666666501E-3</v>
      </c>
      <c r="W230" s="88">
        <v>1.75E-3</v>
      </c>
      <c r="X230" s="51">
        <v>2E-3</v>
      </c>
      <c r="Y230" s="51">
        <v>2.7799999999999999E-3</v>
      </c>
      <c r="Z230" s="51">
        <v>5.5599999999999998E-3</v>
      </c>
      <c r="AA230" s="51">
        <v>3.0000000000000001E-3</v>
      </c>
      <c r="AB230" s="43">
        <v>2.6500000000000412E-3</v>
      </c>
    </row>
    <row r="231" spans="1:28" x14ac:dyDescent="0.25">
      <c r="A231" s="22">
        <f t="shared" si="3"/>
        <v>0.79513888888888662</v>
      </c>
      <c r="V231" s="18">
        <v>2.1666666666666501E-3</v>
      </c>
      <c r="W231" s="88">
        <v>2E-3</v>
      </c>
      <c r="X231" s="51">
        <v>2E-3</v>
      </c>
      <c r="Y231" s="51">
        <v>2.7799999999999999E-3</v>
      </c>
      <c r="Z231" s="51">
        <v>5.5599999999999998E-3</v>
      </c>
      <c r="AA231" s="51">
        <v>3.0000000000000001E-3</v>
      </c>
      <c r="AB231" s="43">
        <v>2.6499999999999302E-3</v>
      </c>
    </row>
    <row r="232" spans="1:28" x14ac:dyDescent="0.25">
      <c r="A232" s="22">
        <f t="shared" si="3"/>
        <v>0.79861111111110883</v>
      </c>
      <c r="V232" s="18">
        <v>2.2500000000000853E-3</v>
      </c>
      <c r="W232" s="88">
        <v>2E-3</v>
      </c>
      <c r="X232" s="51">
        <v>2E-3</v>
      </c>
      <c r="Y232" s="51">
        <v>2.7799999999999999E-3</v>
      </c>
      <c r="Z232" s="51">
        <v>5.5599999999999998E-3</v>
      </c>
      <c r="AA232" s="51">
        <v>3.0000000000000001E-3</v>
      </c>
      <c r="AB232" s="43">
        <v>2.6500000000000412E-3</v>
      </c>
    </row>
    <row r="233" spans="1:28" x14ac:dyDescent="0.25">
      <c r="A233" s="22">
        <f t="shared" si="3"/>
        <v>0.80208333333333104</v>
      </c>
      <c r="V233" s="18">
        <v>2.1833333333333149E-3</v>
      </c>
      <c r="W233" s="88">
        <v>2E-3</v>
      </c>
      <c r="X233" s="51">
        <v>2E-3</v>
      </c>
      <c r="Y233" s="51">
        <v>2.3600000000000001E-3</v>
      </c>
      <c r="Z233" s="51">
        <v>7.6400000000000001E-3</v>
      </c>
      <c r="AA233" s="51">
        <v>3.0000000000000001E-3</v>
      </c>
      <c r="AB233" s="43">
        <v>2.6500000000000412E-3</v>
      </c>
    </row>
    <row r="234" spans="1:28" x14ac:dyDescent="0.25">
      <c r="A234" s="22">
        <f t="shared" si="3"/>
        <v>0.80555555555555325</v>
      </c>
      <c r="V234" s="18">
        <v>2.1166666666666556E-3</v>
      </c>
      <c r="W234" s="88">
        <v>2E-3</v>
      </c>
      <c r="X234" s="51">
        <v>2E-3</v>
      </c>
      <c r="Y234" s="51">
        <v>2.0799999999999998E-3</v>
      </c>
      <c r="Z234" s="51">
        <v>9.0299999999999998E-3</v>
      </c>
      <c r="AA234" s="51">
        <v>3.0000000000000001E-3</v>
      </c>
      <c r="AB234" s="43">
        <v>2.6499999999999302E-3</v>
      </c>
    </row>
    <row r="235" spans="1:28" x14ac:dyDescent="0.25">
      <c r="A235" s="22">
        <f t="shared" si="3"/>
        <v>0.80902777777777546</v>
      </c>
      <c r="V235" s="18">
        <v>2.1166666666666556E-3</v>
      </c>
      <c r="W235" s="88">
        <v>2E-3</v>
      </c>
      <c r="X235" s="51">
        <v>2E-3</v>
      </c>
      <c r="Y235" s="51">
        <v>2.0799999999999998E-3</v>
      </c>
      <c r="Z235" s="51">
        <v>9.0299999999999998E-3</v>
      </c>
      <c r="AA235" s="51">
        <v>3.0000000000000001E-3</v>
      </c>
      <c r="AB235" s="43">
        <v>2.6000000000000467E-3</v>
      </c>
    </row>
    <row r="236" spans="1:28" x14ac:dyDescent="0.25">
      <c r="A236" s="22">
        <f t="shared" si="3"/>
        <v>0.81249999999999767</v>
      </c>
      <c r="V236" s="18">
        <v>2.1666666666666501E-3</v>
      </c>
      <c r="W236" s="88">
        <v>2E-3</v>
      </c>
      <c r="X236" s="51">
        <v>2E-3</v>
      </c>
      <c r="Y236" s="51">
        <v>2.0799999999999998E-3</v>
      </c>
      <c r="Z236" s="51">
        <v>9.0299999999999998E-3</v>
      </c>
      <c r="AA236" s="51">
        <v>3.0000000000000001E-3</v>
      </c>
      <c r="AB236" s="43">
        <v>2.5999999999999357E-3</v>
      </c>
    </row>
    <row r="237" spans="1:28" x14ac:dyDescent="0.25">
      <c r="A237" s="22">
        <f t="shared" si="3"/>
        <v>0.81597222222221988</v>
      </c>
      <c r="V237" s="18">
        <v>2.1666666666666501E-3</v>
      </c>
      <c r="W237" s="88">
        <v>2E-3</v>
      </c>
      <c r="X237" s="51">
        <v>2E-3</v>
      </c>
      <c r="Y237" s="51">
        <v>2.0799999999999998E-3</v>
      </c>
      <c r="Z237" s="51">
        <v>9.0299999999999998E-3</v>
      </c>
      <c r="AA237" s="51">
        <v>3.0000000000000001E-3</v>
      </c>
      <c r="AB237" s="43">
        <v>2.6000000000000467E-3</v>
      </c>
    </row>
    <row r="238" spans="1:28" x14ac:dyDescent="0.25">
      <c r="A238" s="22">
        <f t="shared" si="3"/>
        <v>0.81944444444444209</v>
      </c>
      <c r="V238" s="18">
        <v>2.0833333333333259E-3</v>
      </c>
      <c r="W238" s="88">
        <v>2E-3</v>
      </c>
      <c r="X238" s="51">
        <v>2E-3</v>
      </c>
      <c r="Y238" s="51">
        <v>2.0799999999999998E-3</v>
      </c>
      <c r="Z238" s="51">
        <v>9.0299999999999998E-3</v>
      </c>
      <c r="AA238" s="51">
        <v>3.0000000000000001E-3</v>
      </c>
      <c r="AB238" s="43">
        <v>2.6000000000000467E-3</v>
      </c>
    </row>
    <row r="239" spans="1:28" x14ac:dyDescent="0.25">
      <c r="A239" s="22">
        <f t="shared" si="3"/>
        <v>0.8229166666666643</v>
      </c>
      <c r="V239" s="18">
        <v>2.0833333333333259E-3</v>
      </c>
      <c r="W239" s="88">
        <v>2E-3</v>
      </c>
      <c r="X239" s="51">
        <v>2E-3</v>
      </c>
      <c r="Y239" s="51">
        <v>2.0799999999999998E-3</v>
      </c>
      <c r="Z239" s="51">
        <v>9.0299999999999998E-3</v>
      </c>
      <c r="AA239" s="51">
        <v>3.0000000000000001E-3</v>
      </c>
      <c r="AB239" s="43">
        <v>2.5999999999999357E-3</v>
      </c>
    </row>
    <row r="240" spans="1:28" x14ac:dyDescent="0.25">
      <c r="A240" s="22">
        <f t="shared" si="3"/>
        <v>0.82638888888888651</v>
      </c>
      <c r="V240" s="18">
        <v>2.0833333333333259E-3</v>
      </c>
      <c r="W240" s="88">
        <v>2E-3</v>
      </c>
      <c r="X240" s="51">
        <v>2E-3</v>
      </c>
      <c r="Y240" s="51">
        <v>2.0799999999999998E-3</v>
      </c>
      <c r="Z240" s="51">
        <v>9.0299999999999998E-3</v>
      </c>
      <c r="AA240" s="51">
        <v>3.0000000000000001E-3</v>
      </c>
      <c r="AB240" s="43">
        <v>2.6000000000000467E-3</v>
      </c>
    </row>
    <row r="241" spans="1:28" x14ac:dyDescent="0.25">
      <c r="A241" s="22">
        <f t="shared" si="3"/>
        <v>0.82986111111110872</v>
      </c>
      <c r="V241" s="18">
        <v>2.083333333333437E-3</v>
      </c>
      <c r="W241" s="88">
        <v>2E-3</v>
      </c>
      <c r="X241" s="51">
        <v>2E-3</v>
      </c>
      <c r="Y241" s="51">
        <v>2.0799999999999998E-3</v>
      </c>
      <c r="Z241" s="51">
        <v>9.0299999999999998E-3</v>
      </c>
      <c r="AA241" s="51">
        <v>3.0000000000000001E-3</v>
      </c>
      <c r="AB241" s="43">
        <v>2.6000000000000467E-3</v>
      </c>
    </row>
    <row r="242" spans="1:28" x14ac:dyDescent="0.25">
      <c r="A242" s="22">
        <f t="shared" si="3"/>
        <v>0.83333333333333093</v>
      </c>
      <c r="V242" s="18">
        <v>2.0833333333332149E-3</v>
      </c>
      <c r="W242" s="88">
        <v>2E-3</v>
      </c>
      <c r="X242" s="51">
        <v>2E-3</v>
      </c>
      <c r="Y242" s="51">
        <v>2.0799999999999998E-3</v>
      </c>
      <c r="Z242" s="51">
        <v>9.0299999999999998E-3</v>
      </c>
      <c r="AA242" s="51">
        <v>3.0000000000000001E-3</v>
      </c>
      <c r="AB242" s="43">
        <v>2.5999999999999357E-3</v>
      </c>
    </row>
    <row r="243" spans="1:28" x14ac:dyDescent="0.25">
      <c r="A243" s="22">
        <f t="shared" si="3"/>
        <v>0.83680555555555314</v>
      </c>
      <c r="V243" s="18">
        <v>2.083333333333437E-3</v>
      </c>
      <c r="W243" s="88">
        <v>1.75E-3</v>
      </c>
      <c r="X243" s="51">
        <v>2E-3</v>
      </c>
      <c r="Y243" s="51">
        <v>2.0799999999999998E-3</v>
      </c>
      <c r="Z243" s="51">
        <v>9.0299999999999998E-3</v>
      </c>
      <c r="AA243" s="51">
        <v>3.0000000000000001E-3</v>
      </c>
      <c r="AB243" s="43">
        <v>2.5999999999999357E-3</v>
      </c>
    </row>
    <row r="244" spans="1:28" x14ac:dyDescent="0.25">
      <c r="A244" s="22">
        <f t="shared" si="3"/>
        <v>0.84027777777777535</v>
      </c>
      <c r="V244" s="18">
        <v>2.0833333333333259E-3</v>
      </c>
      <c r="W244" s="88">
        <v>1.75E-3</v>
      </c>
      <c r="X244" s="51">
        <v>2E-3</v>
      </c>
      <c r="Y244" s="51">
        <v>2.0799999999999998E-3</v>
      </c>
      <c r="Z244" s="51">
        <v>9.0299999999999998E-3</v>
      </c>
      <c r="AA244" s="51">
        <v>3.0000000000000001E-3</v>
      </c>
      <c r="AB244" s="43">
        <v>2.6000000000000467E-3</v>
      </c>
    </row>
    <row r="245" spans="1:28" x14ac:dyDescent="0.25">
      <c r="A245" s="22">
        <f t="shared" si="3"/>
        <v>0.84374999999999756</v>
      </c>
      <c r="V245" s="18">
        <v>2.0166666666666666E-3</v>
      </c>
      <c r="W245" s="88">
        <v>1.75E-3</v>
      </c>
      <c r="X245" s="51">
        <v>2E-3</v>
      </c>
      <c r="Y245" s="51">
        <v>2.0799999999999998E-3</v>
      </c>
      <c r="Z245" s="51">
        <v>9.0299999999999998E-3</v>
      </c>
      <c r="AA245" s="51">
        <v>3.0000000000000001E-3</v>
      </c>
      <c r="AB245" s="43">
        <v>2.5499999999999412E-3</v>
      </c>
    </row>
    <row r="246" spans="1:28" x14ac:dyDescent="0.25">
      <c r="A246" s="22">
        <f t="shared" si="3"/>
        <v>0.84722222222221977</v>
      </c>
      <c r="V246" s="18">
        <v>2.0499999999999963E-3</v>
      </c>
      <c r="W246" s="88">
        <v>1.75E-3</v>
      </c>
      <c r="X246" s="51">
        <v>2E-3</v>
      </c>
      <c r="Y246" s="51">
        <v>2.0799999999999998E-3</v>
      </c>
      <c r="Z246" s="51">
        <v>9.0299999999999998E-3</v>
      </c>
      <c r="AA246" s="51">
        <v>3.0000000000000001E-3</v>
      </c>
      <c r="AB246" s="43">
        <v>2.5500000000000522E-3</v>
      </c>
    </row>
    <row r="247" spans="1:28" x14ac:dyDescent="0.25">
      <c r="A247" s="22">
        <f t="shared" si="3"/>
        <v>0.85069444444444198</v>
      </c>
      <c r="V247" s="18">
        <v>2.0499999999999963E-3</v>
      </c>
      <c r="W247" s="88">
        <v>1.75E-3</v>
      </c>
      <c r="X247" s="51">
        <v>2E-3</v>
      </c>
      <c r="Y247" s="51">
        <v>2.0799999999999998E-3</v>
      </c>
      <c r="Z247" s="51">
        <v>8.8900000000000003E-3</v>
      </c>
      <c r="AA247" s="51">
        <v>3.0000000000000001E-3</v>
      </c>
      <c r="AB247" s="43">
        <v>2.5500000000000522E-3</v>
      </c>
    </row>
    <row r="248" spans="1:28" x14ac:dyDescent="0.25">
      <c r="A248" s="22">
        <f t="shared" si="3"/>
        <v>0.85416666666666419</v>
      </c>
      <c r="V248" s="18">
        <v>2.0000000000000018E-3</v>
      </c>
      <c r="W248" s="88">
        <v>1.75E-3</v>
      </c>
      <c r="X248" s="51">
        <v>2E-3</v>
      </c>
      <c r="Y248" s="51">
        <v>2.0799999999999998E-3</v>
      </c>
      <c r="Z248" s="51">
        <v>8.3300000000000006E-3</v>
      </c>
      <c r="AA248" s="51">
        <v>3.0000000000000001E-3</v>
      </c>
      <c r="AB248" s="43">
        <v>2.5499999999999412E-3</v>
      </c>
    </row>
    <row r="249" spans="1:28" x14ac:dyDescent="0.25">
      <c r="A249" s="22">
        <f t="shared" si="3"/>
        <v>0.8576388888888864</v>
      </c>
      <c r="V249" s="18">
        <v>2.0000000000000018E-3</v>
      </c>
      <c r="W249" s="88">
        <v>1.75E-3</v>
      </c>
      <c r="X249" s="51">
        <v>2E-3</v>
      </c>
      <c r="Y249" s="51">
        <v>2.0799999999999998E-3</v>
      </c>
      <c r="Z249" s="51">
        <v>8.3300000000000006E-3</v>
      </c>
      <c r="AA249" s="51">
        <v>3.0000000000000001E-3</v>
      </c>
      <c r="AB249" s="43">
        <v>2.5499999999999412E-3</v>
      </c>
    </row>
    <row r="250" spans="1:28" x14ac:dyDescent="0.25">
      <c r="A250" s="22">
        <f t="shared" si="3"/>
        <v>0.86111111111110861</v>
      </c>
      <c r="V250" s="18">
        <v>2.0000000000000018E-3</v>
      </c>
      <c r="W250" s="88">
        <v>1.75E-3</v>
      </c>
      <c r="X250" s="51">
        <v>2E-3</v>
      </c>
      <c r="Y250" s="51">
        <v>2.0799999999999998E-3</v>
      </c>
      <c r="Z250" s="51">
        <v>8.3300000000000006E-3</v>
      </c>
      <c r="AA250" s="51">
        <v>3.0000000000000001E-3</v>
      </c>
      <c r="AB250" s="43">
        <v>2.5500000000000522E-3</v>
      </c>
    </row>
    <row r="251" spans="1:28" x14ac:dyDescent="0.25">
      <c r="A251" s="22">
        <f t="shared" si="3"/>
        <v>0.86458333333333082</v>
      </c>
      <c r="V251" s="18">
        <v>2.0000000000000018E-3</v>
      </c>
      <c r="W251" s="88">
        <v>1.75E-3</v>
      </c>
      <c r="X251" s="51">
        <v>2E-3</v>
      </c>
      <c r="Y251" s="51">
        <v>2.0799999999999998E-3</v>
      </c>
      <c r="Z251" s="51">
        <v>8.3300000000000006E-3</v>
      </c>
      <c r="AA251" s="51">
        <v>3.0000000000000001E-3</v>
      </c>
      <c r="AB251" s="43">
        <v>2.4999999999999467E-3</v>
      </c>
    </row>
    <row r="252" spans="1:28" x14ac:dyDescent="0.25">
      <c r="A252" s="22">
        <f t="shared" si="3"/>
        <v>0.86805555555555303</v>
      </c>
      <c r="V252" s="18">
        <v>1.9500000000000073E-3</v>
      </c>
      <c r="W252" s="88">
        <v>1.75E-3</v>
      </c>
      <c r="X252" s="51">
        <v>2E-3</v>
      </c>
      <c r="Y252" s="51">
        <v>2.0799999999999998E-3</v>
      </c>
      <c r="Z252" s="51">
        <v>8.3300000000000006E-3</v>
      </c>
      <c r="AA252" s="51">
        <v>3.0000000000000001E-3</v>
      </c>
      <c r="AB252" s="43">
        <v>2.5000000000000577E-3</v>
      </c>
    </row>
    <row r="253" spans="1:28" x14ac:dyDescent="0.25">
      <c r="A253" s="22">
        <f t="shared" si="3"/>
        <v>0.87152777777777524</v>
      </c>
      <c r="V253" s="18">
        <v>1.9500000000000073E-3</v>
      </c>
      <c r="W253" s="88">
        <v>1.75E-3</v>
      </c>
      <c r="X253" s="51">
        <v>2E-3</v>
      </c>
      <c r="Y253" s="51">
        <v>2.0799999999999998E-3</v>
      </c>
      <c r="Z253" s="51">
        <v>8.3300000000000006E-3</v>
      </c>
      <c r="AA253" s="51">
        <v>3.0000000000000001E-3</v>
      </c>
      <c r="AB253" s="43">
        <v>2.5000000000000577E-3</v>
      </c>
    </row>
    <row r="254" spans="1:28" x14ac:dyDescent="0.25">
      <c r="A254" s="22">
        <f t="shared" si="3"/>
        <v>0.87499999999999745</v>
      </c>
      <c r="V254" s="18">
        <v>1.9833333333332259E-3</v>
      </c>
      <c r="W254" s="88">
        <v>1.75E-3</v>
      </c>
      <c r="X254" s="51">
        <v>2E-3</v>
      </c>
      <c r="Y254" s="51">
        <v>2.0799999999999998E-3</v>
      </c>
      <c r="Z254" s="51">
        <v>8.3300000000000006E-3</v>
      </c>
      <c r="AA254" s="51">
        <v>3.0000000000000001E-3</v>
      </c>
      <c r="AB254" s="43">
        <v>2.4999999999999467E-3</v>
      </c>
    </row>
    <row r="255" spans="1:28" x14ac:dyDescent="0.25">
      <c r="A255" s="22">
        <f t="shared" si="3"/>
        <v>0.87847222222221966</v>
      </c>
      <c r="V255" s="18">
        <v>1.9166666666667886E-3</v>
      </c>
      <c r="W255" s="88">
        <v>1.75E-3</v>
      </c>
      <c r="X255" s="51">
        <v>2E-3</v>
      </c>
      <c r="Y255" s="51">
        <v>2.0799999999999998E-3</v>
      </c>
      <c r="Z255" s="51">
        <v>8.3300000000000006E-3</v>
      </c>
      <c r="AA255" s="51">
        <v>3.0000000000000001E-3</v>
      </c>
      <c r="AB255" s="43">
        <v>2.4999999999999467E-3</v>
      </c>
    </row>
    <row r="256" spans="1:28" x14ac:dyDescent="0.25">
      <c r="A256" s="22">
        <f t="shared" si="3"/>
        <v>0.88194444444444187</v>
      </c>
      <c r="V256" s="18">
        <v>1.9166666666666776E-3</v>
      </c>
      <c r="W256" s="88">
        <v>1.75E-3</v>
      </c>
      <c r="X256" s="51">
        <v>2E-3</v>
      </c>
      <c r="Y256" s="51">
        <v>2.0799999999999998E-3</v>
      </c>
      <c r="Z256" s="51">
        <v>8.3300000000000006E-3</v>
      </c>
      <c r="AA256" s="51">
        <v>3.0000000000000001E-3</v>
      </c>
      <c r="AB256" s="43">
        <v>2.5000000000000577E-3</v>
      </c>
    </row>
    <row r="257" spans="1:28" x14ac:dyDescent="0.25">
      <c r="A257" s="22">
        <f t="shared" si="3"/>
        <v>0.88541666666666408</v>
      </c>
      <c r="V257" s="18">
        <v>1.9166666666665666E-3</v>
      </c>
      <c r="W257" s="88">
        <v>1.75E-3</v>
      </c>
      <c r="X257" s="51">
        <v>2E-3</v>
      </c>
      <c r="Y257" s="51">
        <v>2.0799999999999998E-3</v>
      </c>
      <c r="Z257" s="51">
        <v>8.3300000000000006E-3</v>
      </c>
      <c r="AA257" s="51">
        <v>3.0000000000000001E-3</v>
      </c>
      <c r="AB257" s="43">
        <v>2.5000000000000577E-3</v>
      </c>
    </row>
    <row r="258" spans="1:28" x14ac:dyDescent="0.25">
      <c r="A258" s="22">
        <f t="shared" si="3"/>
        <v>0.88888888888888629</v>
      </c>
      <c r="V258" s="18">
        <v>1.9166666666666776E-3</v>
      </c>
      <c r="W258" s="88">
        <v>1.75E-3</v>
      </c>
      <c r="X258" s="51">
        <v>2E-3</v>
      </c>
      <c r="Y258" s="51">
        <v>2.0799999999999998E-3</v>
      </c>
      <c r="Z258" s="51">
        <v>8.3300000000000006E-3</v>
      </c>
      <c r="AA258" s="51">
        <v>3.0000000000000001E-3</v>
      </c>
      <c r="AB258" s="43">
        <v>2.4999999999999467E-3</v>
      </c>
    </row>
    <row r="259" spans="1:28" x14ac:dyDescent="0.25">
      <c r="A259" s="22">
        <f t="shared" si="3"/>
        <v>0.8923611111111085</v>
      </c>
      <c r="V259" s="18">
        <v>1.883333333333348E-3</v>
      </c>
      <c r="W259" s="88">
        <v>1.75E-3</v>
      </c>
      <c r="X259" s="51">
        <v>2E-3</v>
      </c>
      <c r="Y259" s="51">
        <v>2.0799999999999998E-3</v>
      </c>
      <c r="Z259" s="51">
        <v>8.3300000000000006E-3</v>
      </c>
      <c r="AA259" s="51">
        <v>3.0000000000000001E-3</v>
      </c>
      <c r="AB259" s="43">
        <v>2.4500000000000632E-3</v>
      </c>
    </row>
    <row r="260" spans="1:28" x14ac:dyDescent="0.25">
      <c r="A260" s="22">
        <f t="shared" ref="A260:A290" si="4">A259+TIME(0,5,0)</f>
        <v>0.89583333333333071</v>
      </c>
      <c r="V260" s="18">
        <v>1.8500000000000183E-3</v>
      </c>
      <c r="W260" s="88">
        <v>1.75E-3</v>
      </c>
      <c r="X260" s="51">
        <v>2E-3</v>
      </c>
      <c r="Y260" s="51">
        <v>2.0799999999999998E-3</v>
      </c>
      <c r="Z260" s="51">
        <v>8.3300000000000006E-3</v>
      </c>
      <c r="AA260" s="51">
        <v>3.0000000000000001E-3</v>
      </c>
      <c r="AB260" s="43">
        <v>2.4499999999999522E-3</v>
      </c>
    </row>
    <row r="261" spans="1:28" x14ac:dyDescent="0.25">
      <c r="A261" s="22">
        <f t="shared" si="4"/>
        <v>0.89930555555555292</v>
      </c>
      <c r="V261" s="18">
        <v>1.9166666666666776E-3</v>
      </c>
      <c r="W261" s="88">
        <v>1.75E-3</v>
      </c>
      <c r="X261" s="51">
        <v>2E-3</v>
      </c>
      <c r="Y261" s="51">
        <v>2.0799999999999998E-3</v>
      </c>
      <c r="Z261" s="51">
        <v>8.3300000000000006E-3</v>
      </c>
      <c r="AA261" s="51">
        <v>3.0000000000000001E-3</v>
      </c>
      <c r="AB261" s="43">
        <v>2.4499999999999522E-3</v>
      </c>
    </row>
    <row r="262" spans="1:28" x14ac:dyDescent="0.25">
      <c r="A262" s="22">
        <f t="shared" si="4"/>
        <v>0.90277777777777513</v>
      </c>
      <c r="V262" s="18">
        <v>1.8333333333333535E-3</v>
      </c>
      <c r="W262" s="88">
        <v>1.75E-3</v>
      </c>
      <c r="X262" s="51">
        <v>2E-3</v>
      </c>
      <c r="Y262" s="51">
        <v>1.5299999999999999E-3</v>
      </c>
      <c r="Z262" s="51">
        <v>6.11E-3</v>
      </c>
      <c r="AA262" s="51">
        <v>3.0000000000000001E-3</v>
      </c>
      <c r="AB262" s="43">
        <v>2.4500000000000632E-3</v>
      </c>
    </row>
    <row r="263" spans="1:28" x14ac:dyDescent="0.25">
      <c r="A263" s="22">
        <f t="shared" si="4"/>
        <v>0.90624999999999734</v>
      </c>
      <c r="V263" s="18">
        <v>1.8999999999999018E-3</v>
      </c>
      <c r="W263" s="88">
        <v>1.75E-3</v>
      </c>
      <c r="X263" s="51">
        <v>2E-3</v>
      </c>
      <c r="Y263" s="51">
        <v>1.39E-3</v>
      </c>
      <c r="Z263" s="51">
        <v>5.5599999999999998E-3</v>
      </c>
      <c r="AA263" s="51">
        <v>3.0000000000000001E-3</v>
      </c>
      <c r="AB263" s="43">
        <v>2.4500000000000632E-3</v>
      </c>
    </row>
    <row r="264" spans="1:28" x14ac:dyDescent="0.25">
      <c r="A264" s="22">
        <f t="shared" si="4"/>
        <v>0.90972222222221955</v>
      </c>
      <c r="V264" s="18">
        <v>1.8666666666666831E-3</v>
      </c>
      <c r="W264" s="88">
        <v>1.75E-3</v>
      </c>
      <c r="X264" s="51">
        <v>2E-3</v>
      </c>
      <c r="Y264" s="51">
        <v>1.39E-3</v>
      </c>
      <c r="Z264" s="51">
        <v>5.5599999999999998E-3</v>
      </c>
      <c r="AA264" s="51">
        <v>3.0000000000000001E-3</v>
      </c>
      <c r="AB264" s="43">
        <v>2.4499999999999522E-3</v>
      </c>
    </row>
    <row r="265" spans="1:28" x14ac:dyDescent="0.25">
      <c r="A265" s="22">
        <f t="shared" si="4"/>
        <v>0.91319444444444176</v>
      </c>
      <c r="V265" s="18">
        <v>1.8333333333334645E-3</v>
      </c>
      <c r="W265" s="88">
        <v>1.75E-3</v>
      </c>
      <c r="X265" s="51">
        <v>2E-3</v>
      </c>
      <c r="Y265" s="51">
        <v>1.39E-3</v>
      </c>
      <c r="Z265" s="51">
        <v>5.5599999999999998E-3</v>
      </c>
      <c r="AA265" s="51">
        <v>3.0000000000000001E-3</v>
      </c>
      <c r="AB265" s="43">
        <v>2.4499999999999522E-3</v>
      </c>
    </row>
    <row r="266" spans="1:28" x14ac:dyDescent="0.25">
      <c r="A266" s="22">
        <f t="shared" si="4"/>
        <v>0.91666666666666397</v>
      </c>
      <c r="V266" s="18">
        <v>1.8166666666665776E-3</v>
      </c>
      <c r="W266" s="88">
        <v>1.75E-3</v>
      </c>
      <c r="X266" s="51">
        <v>2E-3</v>
      </c>
      <c r="Y266" s="51">
        <v>1.39E-3</v>
      </c>
      <c r="Z266" s="51">
        <v>5.5599999999999998E-3</v>
      </c>
      <c r="AA266" s="51">
        <v>3.0000000000000001E-3</v>
      </c>
      <c r="AB266" s="43">
        <v>2.4500000000000632E-3</v>
      </c>
    </row>
    <row r="267" spans="1:28" x14ac:dyDescent="0.25">
      <c r="A267" s="22">
        <f t="shared" si="4"/>
        <v>0.92013888888888618</v>
      </c>
      <c r="V267" s="18">
        <v>1.7500000000000293E-3</v>
      </c>
      <c r="W267" s="88">
        <v>2E-3</v>
      </c>
      <c r="X267" s="51">
        <v>2E-3</v>
      </c>
      <c r="Y267" s="51">
        <v>1.39E-3</v>
      </c>
      <c r="Z267" s="51">
        <v>5.5599999999999998E-3</v>
      </c>
      <c r="AA267" s="51">
        <v>3.0000000000000001E-3</v>
      </c>
      <c r="AB267" s="43">
        <v>2.3999999999999577E-3</v>
      </c>
    </row>
    <row r="268" spans="1:28" x14ac:dyDescent="0.25">
      <c r="A268" s="22">
        <f t="shared" si="4"/>
        <v>0.92361111111110838</v>
      </c>
      <c r="V268" s="18">
        <v>1.8333333333333535E-3</v>
      </c>
      <c r="W268" s="88">
        <v>2E-3</v>
      </c>
      <c r="X268" s="51">
        <v>2E-3</v>
      </c>
      <c r="Y268" s="51">
        <v>1.39E-3</v>
      </c>
      <c r="Z268" s="51">
        <v>5.5599999999999998E-3</v>
      </c>
      <c r="AA268" s="51">
        <v>3.0000000000000001E-3</v>
      </c>
      <c r="AB268" s="43">
        <v>2.3999999999999577E-3</v>
      </c>
    </row>
    <row r="269" spans="1:28" x14ac:dyDescent="0.25">
      <c r="A269" s="22">
        <f t="shared" si="4"/>
        <v>0.92708333333333059</v>
      </c>
      <c r="V269" s="18">
        <v>1.7666666666665831E-3</v>
      </c>
      <c r="W269" s="88">
        <v>2E-3</v>
      </c>
      <c r="X269" s="51">
        <v>2E-3</v>
      </c>
      <c r="Y269" s="51">
        <v>1.39E-3</v>
      </c>
      <c r="Z269" s="51">
        <v>5.5599999999999998E-3</v>
      </c>
      <c r="AA269" s="51">
        <v>3.0000000000000001E-3</v>
      </c>
      <c r="AB269" s="43">
        <v>2.3999999999999577E-3</v>
      </c>
    </row>
    <row r="270" spans="1:28" x14ac:dyDescent="0.25">
      <c r="A270" s="22">
        <f t="shared" si="4"/>
        <v>0.9305555555555528</v>
      </c>
      <c r="V270" s="18">
        <v>1.8000000000000238E-3</v>
      </c>
      <c r="W270" s="88">
        <v>2E-3</v>
      </c>
      <c r="X270" s="51">
        <v>2E-3</v>
      </c>
      <c r="Y270" s="51">
        <v>1.39E-3</v>
      </c>
      <c r="Z270" s="51">
        <v>5.5599999999999998E-3</v>
      </c>
      <c r="AA270" s="51">
        <v>3.0000000000000001E-3</v>
      </c>
      <c r="AB270" s="43">
        <v>2.4000000000000687E-3</v>
      </c>
    </row>
    <row r="271" spans="1:28" x14ac:dyDescent="0.25">
      <c r="A271" s="22">
        <f t="shared" si="4"/>
        <v>0.93402777777777501</v>
      </c>
      <c r="V271" s="18">
        <v>1.8000000000000238E-3</v>
      </c>
      <c r="W271" s="88">
        <v>2E-3</v>
      </c>
      <c r="X271" s="51">
        <v>2E-3</v>
      </c>
      <c r="Y271" s="51">
        <v>1.39E-3</v>
      </c>
      <c r="Z271" s="51">
        <v>5.5599999999999998E-3</v>
      </c>
      <c r="AA271" s="51">
        <v>3.0000000000000001E-3</v>
      </c>
      <c r="AB271" s="43">
        <v>2.4000000000000687E-3</v>
      </c>
    </row>
    <row r="272" spans="1:28" x14ac:dyDescent="0.25">
      <c r="A272" s="22">
        <f t="shared" si="4"/>
        <v>0.93749999999999722</v>
      </c>
      <c r="V272" s="18">
        <v>1.7499999999999183E-3</v>
      </c>
      <c r="W272" s="88">
        <v>2E-3</v>
      </c>
      <c r="X272" s="51">
        <v>2E-3</v>
      </c>
      <c r="Y272" s="51">
        <v>1.39E-3</v>
      </c>
      <c r="Z272" s="51">
        <v>5.5599999999999998E-3</v>
      </c>
      <c r="AA272" s="51">
        <v>3.0000000000000001E-3</v>
      </c>
      <c r="AB272" s="43">
        <v>2.3999999999999577E-3</v>
      </c>
    </row>
    <row r="273" spans="1:28" x14ac:dyDescent="0.25">
      <c r="A273" s="22">
        <f t="shared" si="4"/>
        <v>0.94097222222221943</v>
      </c>
      <c r="V273" s="18">
        <v>1.7500000000000293E-3</v>
      </c>
      <c r="W273" s="88">
        <v>2E-3</v>
      </c>
      <c r="X273" s="51">
        <v>2E-3</v>
      </c>
      <c r="Y273" s="51">
        <v>1.39E-3</v>
      </c>
      <c r="Z273" s="51">
        <v>5.5599999999999998E-3</v>
      </c>
      <c r="AA273" s="51">
        <v>3.0000000000000001E-3</v>
      </c>
      <c r="AB273" s="43">
        <v>2.3499999999999632E-3</v>
      </c>
    </row>
    <row r="274" spans="1:28" x14ac:dyDescent="0.25">
      <c r="A274" s="22">
        <f t="shared" si="4"/>
        <v>0.94444444444444164</v>
      </c>
      <c r="V274" s="18">
        <v>1.7500000000001403E-3</v>
      </c>
      <c r="W274" s="88">
        <v>2E-3</v>
      </c>
      <c r="X274" s="51">
        <v>2E-3</v>
      </c>
      <c r="Y274" s="51">
        <v>1.39E-3</v>
      </c>
      <c r="Z274" s="51">
        <v>5.5599999999999998E-3</v>
      </c>
      <c r="AA274" s="51">
        <v>3.0000000000000001E-3</v>
      </c>
      <c r="AB274" s="43">
        <v>2.3499999999999632E-3</v>
      </c>
    </row>
    <row r="275" spans="1:28" x14ac:dyDescent="0.25">
      <c r="A275" s="22">
        <f t="shared" si="4"/>
        <v>0.94791666666666385</v>
      </c>
      <c r="V275" s="18">
        <v>1.7499999999999183E-3</v>
      </c>
      <c r="W275" s="88">
        <v>2E-3</v>
      </c>
      <c r="X275" s="51">
        <v>2E-3</v>
      </c>
      <c r="Y275" s="51">
        <v>1.39E-3</v>
      </c>
      <c r="Z275" s="51">
        <v>5.5599999999999998E-3</v>
      </c>
      <c r="AA275" s="51">
        <v>3.0000000000000001E-3</v>
      </c>
      <c r="AB275" s="43">
        <v>2.2999999999999687E-3</v>
      </c>
    </row>
    <row r="276" spans="1:28" x14ac:dyDescent="0.25">
      <c r="A276" s="22">
        <f t="shared" si="4"/>
        <v>0.95138888888888606</v>
      </c>
      <c r="V276" s="18">
        <v>1.7000000000000348E-3</v>
      </c>
      <c r="W276" s="88">
        <v>2E-3</v>
      </c>
      <c r="X276" s="51">
        <v>2E-3</v>
      </c>
      <c r="Y276" s="51">
        <v>1.67E-3</v>
      </c>
      <c r="Z276" s="51">
        <v>5.5599999999999998E-3</v>
      </c>
      <c r="AA276" s="51">
        <v>3.0000000000000001E-3</v>
      </c>
      <c r="AB276" s="43">
        <v>2.3000000000000798E-3</v>
      </c>
    </row>
    <row r="277" spans="1:28" x14ac:dyDescent="0.25">
      <c r="A277" s="22">
        <f t="shared" si="4"/>
        <v>0.95486111111110827</v>
      </c>
      <c r="V277" s="18">
        <v>1.6666666666667052E-3</v>
      </c>
      <c r="W277" s="88">
        <v>2E-3</v>
      </c>
      <c r="X277" s="51">
        <v>2E-3</v>
      </c>
      <c r="Y277" s="51">
        <v>2.0799999999999998E-3</v>
      </c>
      <c r="Z277" s="51">
        <v>5.5599999999999998E-3</v>
      </c>
      <c r="AA277" s="51">
        <v>3.0000000000000001E-3</v>
      </c>
      <c r="AB277" s="43">
        <v>2.2499999999999742E-3</v>
      </c>
    </row>
    <row r="278" spans="1:28" x14ac:dyDescent="0.25">
      <c r="A278" s="22">
        <f t="shared" si="4"/>
        <v>0.95833333333333048</v>
      </c>
      <c r="V278" s="18">
        <v>1.683333333333259E-3</v>
      </c>
      <c r="W278" s="88">
        <v>2E-3</v>
      </c>
      <c r="X278" s="51">
        <v>2E-3</v>
      </c>
      <c r="Y278" s="51">
        <v>2.0799999999999998E-3</v>
      </c>
      <c r="Z278" s="51">
        <v>5.5599999999999998E-3</v>
      </c>
      <c r="AA278" s="51">
        <v>3.0000000000000001E-3</v>
      </c>
      <c r="AB278" s="43">
        <v>2.2499999999999742E-3</v>
      </c>
    </row>
    <row r="279" spans="1:28" x14ac:dyDescent="0.25">
      <c r="A279" s="22">
        <f t="shared" si="4"/>
        <v>0.96180555555555269</v>
      </c>
      <c r="V279" s="18">
        <v>1.7500000000000293E-3</v>
      </c>
      <c r="W279" s="88">
        <v>1.75E-3</v>
      </c>
      <c r="X279" s="51">
        <v>2E-3</v>
      </c>
      <c r="Y279" s="51">
        <v>2.0799999999999998E-3</v>
      </c>
      <c r="Z279" s="51">
        <v>5.5599999999999998E-3</v>
      </c>
      <c r="AA279" s="51">
        <v>3.0000000000000001E-3</v>
      </c>
      <c r="AB279" s="43">
        <v>2.2000000000000908E-3</v>
      </c>
    </row>
    <row r="280" spans="1:28" x14ac:dyDescent="0.25">
      <c r="A280" s="22">
        <f t="shared" si="4"/>
        <v>0.9652777777777749</v>
      </c>
      <c r="V280" s="18">
        <v>1.6666666666667052E-3</v>
      </c>
      <c r="W280" s="88">
        <v>1.75E-3</v>
      </c>
      <c r="X280" s="51">
        <v>2E-3</v>
      </c>
      <c r="Y280" s="51">
        <v>2.0799999999999998E-3</v>
      </c>
      <c r="Z280" s="51">
        <v>5.5599999999999998E-3</v>
      </c>
      <c r="AA280" s="51">
        <v>3.0000000000000001E-3</v>
      </c>
      <c r="AB280" s="43">
        <v>2.1999999999999797E-3</v>
      </c>
    </row>
    <row r="281" spans="1:28" x14ac:dyDescent="0.25">
      <c r="A281" s="22">
        <f t="shared" si="4"/>
        <v>0.96874999999999711</v>
      </c>
      <c r="V281" s="18">
        <v>1.6666666666665941E-3</v>
      </c>
      <c r="W281" s="88">
        <v>1.75E-3</v>
      </c>
      <c r="X281" s="51">
        <v>2E-3</v>
      </c>
      <c r="Y281" s="51">
        <v>2.0799999999999998E-3</v>
      </c>
      <c r="Z281" s="51">
        <v>5.5599999999999998E-3</v>
      </c>
      <c r="AA281" s="51">
        <v>3.0000000000000001E-3</v>
      </c>
      <c r="AB281" s="43">
        <v>2.1499999999999853E-3</v>
      </c>
    </row>
    <row r="282" spans="1:28" x14ac:dyDescent="0.25">
      <c r="A282" s="22">
        <f t="shared" si="4"/>
        <v>0.97222222222221932</v>
      </c>
      <c r="V282" s="18">
        <v>1.6166666666665996E-3</v>
      </c>
      <c r="W282" s="88">
        <v>1.75E-3</v>
      </c>
      <c r="X282" s="51">
        <v>2E-3</v>
      </c>
      <c r="Y282" s="51">
        <v>2.0799999999999998E-3</v>
      </c>
      <c r="Z282" s="51">
        <v>5.5599999999999998E-3</v>
      </c>
      <c r="AA282" s="51">
        <v>3.0000000000000001E-3</v>
      </c>
      <c r="AB282" s="43">
        <v>2.1499999999999853E-3</v>
      </c>
    </row>
    <row r="283" spans="1:28" x14ac:dyDescent="0.25">
      <c r="A283" s="22">
        <f t="shared" si="4"/>
        <v>0.97569444444444153</v>
      </c>
      <c r="V283" s="18">
        <v>1.6166666666667107E-3</v>
      </c>
      <c r="W283" s="88">
        <v>1.75E-3</v>
      </c>
      <c r="X283" s="51">
        <v>2E-3</v>
      </c>
      <c r="Y283" s="51">
        <v>2.0799999999999998E-3</v>
      </c>
      <c r="Z283" s="51">
        <v>5.5599999999999998E-3</v>
      </c>
      <c r="AA283" s="51">
        <v>3.0000000000000001E-3</v>
      </c>
      <c r="AB283" s="43">
        <v>2.0999999999999908E-3</v>
      </c>
    </row>
    <row r="284" spans="1:28" x14ac:dyDescent="0.25">
      <c r="A284" s="22">
        <f t="shared" si="4"/>
        <v>0.97916666666666374</v>
      </c>
      <c r="V284" s="18">
        <v>1.6666666666665941E-3</v>
      </c>
      <c r="W284" s="88">
        <v>1.75E-3</v>
      </c>
      <c r="X284" s="51">
        <v>2E-3</v>
      </c>
      <c r="Y284" s="51">
        <v>2.0799999999999998E-3</v>
      </c>
      <c r="Z284" s="51">
        <v>5.5599999999999998E-3</v>
      </c>
      <c r="AA284" s="51">
        <v>3.0000000000000001E-3</v>
      </c>
      <c r="AB284" s="43">
        <v>2.0999999999999908E-3</v>
      </c>
    </row>
    <row r="285" spans="1:28" x14ac:dyDescent="0.25">
      <c r="A285" s="22">
        <f t="shared" si="4"/>
        <v>0.98263888888888595</v>
      </c>
      <c r="V285" s="18">
        <v>1.6666666666667052E-3</v>
      </c>
      <c r="W285" s="88">
        <v>1.75E-3</v>
      </c>
      <c r="X285" s="51">
        <v>2E-3</v>
      </c>
      <c r="Y285" s="51">
        <v>2.0799999999999998E-3</v>
      </c>
      <c r="Z285" s="51">
        <v>5.5599999999999998E-3</v>
      </c>
      <c r="AA285" s="51">
        <v>3.0000000000000001E-3</v>
      </c>
      <c r="AB285" s="43">
        <v>2.0499999999999963E-3</v>
      </c>
    </row>
    <row r="286" spans="1:28" x14ac:dyDescent="0.25">
      <c r="A286" s="22">
        <f t="shared" si="4"/>
        <v>0.98611111111110816</v>
      </c>
      <c r="V286" s="18">
        <v>1.583333333333381E-3</v>
      </c>
      <c r="W286" s="88">
        <v>1.75E-3</v>
      </c>
      <c r="X286" s="51">
        <v>2E-3</v>
      </c>
      <c r="Y286" s="51">
        <v>2.0799999999999998E-3</v>
      </c>
      <c r="Z286" s="51">
        <v>5.5599999999999998E-3</v>
      </c>
      <c r="AA286" s="51">
        <v>3.0000000000000001E-3</v>
      </c>
      <c r="AB286" s="43">
        <v>2.0499999999999963E-3</v>
      </c>
    </row>
    <row r="287" spans="1:28" x14ac:dyDescent="0.25">
      <c r="A287" s="22">
        <f t="shared" si="4"/>
        <v>0.98958333333333037</v>
      </c>
      <c r="V287" s="18">
        <v>1.58333333333327E-3</v>
      </c>
      <c r="W287" s="88">
        <v>1.75E-3</v>
      </c>
      <c r="X287" s="51">
        <v>2E-3</v>
      </c>
      <c r="Y287" s="51">
        <v>2.0799999999999998E-3</v>
      </c>
      <c r="Z287" s="51">
        <v>5.5599999999999998E-3</v>
      </c>
      <c r="AA287" s="51">
        <v>3.0000000000000001E-3</v>
      </c>
      <c r="AB287" s="43">
        <v>1.9500000000000073E-3</v>
      </c>
    </row>
    <row r="288" spans="1:28" x14ac:dyDescent="0.25">
      <c r="A288" s="22">
        <f t="shared" si="4"/>
        <v>0.99305555555555258</v>
      </c>
      <c r="V288" s="18">
        <v>1.583333333333381E-3</v>
      </c>
      <c r="W288" s="88">
        <v>1.75E-3</v>
      </c>
      <c r="X288" s="51">
        <v>2E-3</v>
      </c>
      <c r="Y288" s="51">
        <v>2.0799999999999998E-3</v>
      </c>
      <c r="Z288" s="51">
        <v>5.5599999999999998E-3</v>
      </c>
      <c r="AA288" s="51">
        <v>3.0000000000000001E-3</v>
      </c>
      <c r="AB288" s="43">
        <v>1.9500000000000073E-3</v>
      </c>
    </row>
    <row r="289" spans="1:28" x14ac:dyDescent="0.25">
      <c r="A289" s="22">
        <f t="shared" si="4"/>
        <v>0.99652777777777479</v>
      </c>
      <c r="V289" s="18">
        <v>1.583333333333381E-3</v>
      </c>
      <c r="W289" s="88">
        <v>1.75E-3</v>
      </c>
      <c r="X289" s="51">
        <v>2E-3</v>
      </c>
      <c r="Y289" s="51">
        <v>2.0799999999999998E-3</v>
      </c>
      <c r="Z289" s="51">
        <v>5.5599999999999998E-3</v>
      </c>
      <c r="AA289" s="51">
        <v>3.0000000000000001E-3</v>
      </c>
      <c r="AB289" s="43">
        <v>1.9000000000000128E-3</v>
      </c>
    </row>
    <row r="290" spans="1:28" ht="15.75" thickBot="1" x14ac:dyDescent="0.3">
      <c r="A290" s="23">
        <f t="shared" si="4"/>
        <v>0.999999999999997</v>
      </c>
      <c r="V290" s="19">
        <v>1.2666666666666382E-3</v>
      </c>
      <c r="W290" s="89">
        <v>1.75E-3</v>
      </c>
      <c r="X290" s="52">
        <v>1E-3</v>
      </c>
      <c r="Y290" s="52">
        <v>2.0799999999999998E-3</v>
      </c>
      <c r="Z290" s="52">
        <v>5.5599999999999998E-3</v>
      </c>
      <c r="AA290" s="52">
        <v>3.0000000000000001E-3</v>
      </c>
      <c r="AB290" s="44">
        <v>1.9000000000000128E-3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Intro</vt:lpstr>
      <vt:lpstr>Tool</vt:lpstr>
      <vt:lpstr>Output</vt:lpstr>
      <vt:lpstr>Dropdowns_Lookups</vt:lpstr>
      <vt:lpstr>Bulk Tool</vt:lpstr>
      <vt:lpstr>IDF Tables</vt:lpstr>
      <vt:lpstr>IDF Distributions</vt:lpstr>
    </vt:vector>
  </TitlesOfParts>
  <Company>City of Vancouver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Geyer, Sean</dc:creator>
  <cp:lastModifiedBy>Fan, Fofo</cp:lastModifiedBy>
  <dcterms:created xsi:type="dcterms:W3CDTF">2024-08-11T18:15:43Z</dcterms:created>
  <dcterms:modified xsi:type="dcterms:W3CDTF">2025-07-24T22:27:15Z</dcterms:modified>
</cp:coreProperties>
</file>